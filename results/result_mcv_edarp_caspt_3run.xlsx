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cv_edarp_project_v11_no_pfi\"/>
    </mc:Choice>
  </mc:AlternateContent>
  <xr:revisionPtr revIDLastSave="0" documentId="13_ncr:1_{1098EEB0-BA00-444A-AAB3-F53EEEB08B7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s_global" sheetId="1" r:id="rId1"/>
    <sheet name="obj_decomp" sheetId="2" r:id="rId2"/>
    <sheet name="BPB detail" sheetId="3" r:id="rId3"/>
    <sheet name="Legacy BPB parameters" sheetId="5" r:id="rId4"/>
    <sheet name="MILP results" sheetId="6" r:id="rId5"/>
    <sheet name="BPB 3-run sourc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54" i="1" l="1"/>
  <c r="G54" i="1"/>
  <c r="H54" i="1"/>
  <c r="I54" i="1"/>
  <c r="J54" i="1"/>
  <c r="F55" i="1"/>
  <c r="G55" i="1"/>
  <c r="H55" i="1"/>
  <c r="I55" i="1"/>
  <c r="J55" i="1"/>
  <c r="F56" i="1"/>
  <c r="G56" i="1"/>
  <c r="H56" i="1"/>
  <c r="I56" i="1"/>
  <c r="J56" i="1"/>
  <c r="M56" i="3"/>
  <c r="L56" i="3"/>
  <c r="K56" i="3"/>
  <c r="J56" i="3"/>
  <c r="I56" i="3"/>
  <c r="H56" i="3"/>
  <c r="G56" i="3"/>
  <c r="F56" i="3"/>
  <c r="E56" i="3"/>
  <c r="D56" i="3"/>
  <c r="C56" i="3"/>
  <c r="B56" i="3"/>
  <c r="M55" i="3"/>
  <c r="L55" i="3"/>
  <c r="K55" i="3"/>
  <c r="J55" i="3"/>
  <c r="I55" i="3"/>
  <c r="H55" i="3"/>
  <c r="G55" i="3"/>
  <c r="F55" i="3"/>
  <c r="E55" i="3"/>
  <c r="D55" i="3"/>
  <c r="C55" i="3"/>
  <c r="B55" i="3"/>
  <c r="M54" i="3"/>
  <c r="L54" i="3"/>
  <c r="K54" i="3"/>
  <c r="J54" i="3"/>
  <c r="I54" i="3"/>
  <c r="H54" i="3"/>
  <c r="G54" i="3"/>
  <c r="F54" i="3"/>
  <c r="E54" i="3"/>
  <c r="D54" i="3"/>
  <c r="C54" i="3"/>
  <c r="B54" i="3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</calcChain>
</file>

<file path=xl/sharedStrings.xml><?xml version="1.0" encoding="utf-8"?>
<sst xmlns="http://schemas.openxmlformats.org/spreadsheetml/2006/main" count="1142" uniqueCount="345">
  <si>
    <t>MILP</t>
  </si>
  <si>
    <t>BPB</t>
  </si>
  <si>
    <t>instance</t>
  </si>
  <si>
    <t>Obj.</t>
  </si>
  <si>
    <t>LB</t>
  </si>
  <si>
    <t>GAP(%)</t>
  </si>
  <si>
    <t>CPU (s)</t>
  </si>
  <si>
    <t>CPU1(s)</t>
  </si>
  <si>
    <t>CPU_2 (s)</t>
  </si>
  <si>
    <t>min-end-soc =0.1</t>
  </si>
  <si>
    <t>a2-16</t>
  </si>
  <si>
    <t>a2-20</t>
  </si>
  <si>
    <t>a2-24</t>
  </si>
  <si>
    <t>a3-18</t>
  </si>
  <si>
    <t>a3-24</t>
  </si>
  <si>
    <t>a3-30</t>
  </si>
  <si>
    <t>a3-36</t>
  </si>
  <si>
    <t>a4-16</t>
  </si>
  <si>
    <t>a4-24</t>
  </si>
  <si>
    <t>a4-32</t>
  </si>
  <si>
    <t>a4-40</t>
  </si>
  <si>
    <t>a4-48</t>
  </si>
  <si>
    <t>a5-40</t>
  </si>
  <si>
    <t>a5-50</t>
  </si>
  <si>
    <t>min-end-soc =0.4</t>
  </si>
  <si>
    <t>min-end-soc =0.7</t>
  </si>
  <si>
    <t>Remark: NA: no solution; CPU1 is  wall-clock  time to find best incubent solution. CPU2 is wall-clock time-limit</t>
  </si>
  <si>
    <t>EV travel</t>
  </si>
  <si>
    <t>MCV_travel</t>
  </si>
  <si>
    <t>Charging duration</t>
  </si>
  <si>
    <t>EV waiting</t>
  </si>
  <si>
    <t>weighted MCV parking</t>
  </si>
  <si>
    <t>Initial UB</t>
  </si>
  <si>
    <t>Final UB</t>
  </si>
  <si>
    <t>Columns</t>
  </si>
  <si>
    <t>Nodes</t>
  </si>
  <si>
    <t>Pricing calls</t>
  </si>
  <si>
    <t>Pricing time</t>
  </si>
  <si>
    <t>Oracle calls</t>
  </si>
  <si>
    <t>Oracle time</t>
  </si>
  <si>
    <t>Feasibility cuts</t>
  </si>
  <si>
    <t>Optimality cuts</t>
  </si>
  <si>
    <t>section</t>
  </si>
  <si>
    <t>parameter</t>
  </si>
  <si>
    <t>default value</t>
  </si>
  <si>
    <t>description</t>
  </si>
  <si>
    <t>batch</t>
  </si>
  <si>
    <t>instances</t>
  </si>
  <si>
    <t>a2-16, a2-20, a2-24, a3-18, a3-24, a3-30, a3-36, a4-16, a4-24, a4-32, a4-40, a4-48, a5-40, a5-50</t>
  </si>
  <si>
    <t>14 first-set instances</t>
  </si>
  <si>
    <t>end_soc_values</t>
  </si>
  <si>
    <t>0.1, 0.4, 0.7</t>
  </si>
  <si>
    <t>Terminal SOC ratios</t>
  </si>
  <si>
    <t>MILP time_limit</t>
  </si>
  <si>
    <t>User-defined seconds per MILP run</t>
  </si>
  <si>
    <t>BPB time_limit</t>
  </si>
  <si>
    <t>User-defined seconds per BPB run</t>
  </si>
  <si>
    <t>duplicate_charger</t>
  </si>
  <si>
    <t>Successive-use copies per physical charger</t>
  </si>
  <si>
    <t>duplicate_parking_loc</t>
  </si>
  <si>
    <t>Parking-node copies; prefix ordering is active when &gt;1</t>
  </si>
  <si>
    <t>seed</t>
  </si>
  <si>
    <t>Reproducibility seed</t>
  </si>
  <si>
    <t>BPBOptions</t>
  </si>
  <si>
    <t>relative_gap</t>
  </si>
  <si>
    <t>Certified relative gap (0.1%)</t>
  </si>
  <si>
    <t>pricing_time_limit</t>
  </si>
  <si>
    <t>Seconds per exact pricing solve</t>
  </si>
  <si>
    <t>quick_pricing_time_limit</t>
  </si>
  <si>
    <t>Seconds per quick pricing solve</t>
  </si>
  <si>
    <t>oracle_time_limit</t>
  </si>
  <si>
    <t>Seconds per synchronization oracle</t>
  </si>
  <si>
    <t>master_time_limit</t>
  </si>
  <si>
    <t>Seconds per master solve</t>
  </si>
  <si>
    <t>initialization_time_limit</t>
  </si>
  <si>
    <t>Total feasibility-first initialization budget</t>
  </si>
  <si>
    <t>initialization_attempts</t>
  </si>
  <si>
    <t>Maximum initialization attempts</t>
  </si>
  <si>
    <t>repair_time_limit</t>
  </si>
  <si>
    <t>Seconds per repair solve</t>
  </si>
  <si>
    <t>solver_threads</t>
  </si>
  <si>
    <t>Threads per BPB Gurobi model</t>
  </si>
  <si>
    <t>max_nodes</t>
  </si>
  <si>
    <t>Maximum BPB branch nodes</t>
  </si>
  <si>
    <t>max_columns</t>
  </si>
  <si>
    <t>Maximum generated route columns</t>
  </si>
  <si>
    <t>pricing_pool_size</t>
  </si>
  <si>
    <t>Quick-pricing solution pool</t>
  </si>
  <si>
    <t>max_columns_per_pricing</t>
  </si>
  <si>
    <t>Columns admitted per pricing call</t>
  </si>
  <si>
    <t>integer_pool_size</t>
  </si>
  <si>
    <t>Restricted-master integer candidates</t>
  </si>
  <si>
    <t>primal_search_time_limit</t>
  </si>
  <si>
    <t>Incumbent-focused LNS budget</t>
  </si>
  <si>
    <t>primal_search_attempts</t>
  </si>
  <si>
    <t>Maximum LNS attempts</t>
  </si>
  <si>
    <t>primal_destroy_min</t>
  </si>
  <si>
    <t>Minimum requests destroyed</t>
  </si>
  <si>
    <t>primal_destroy_max</t>
  </si>
  <si>
    <t>Maximum requests destroyed</t>
  </si>
  <si>
    <t>primal_candidate_pool</t>
  </si>
  <si>
    <t>Reinserted candidates per attempt</t>
  </si>
  <si>
    <t>common_parking_trials</t>
  </si>
  <si>
    <t>Forced common-parking trials</t>
  </si>
  <si>
    <t>common_parking_frequency</t>
  </si>
  <si>
    <t>Frequency of common-parking trials</t>
  </si>
  <si>
    <t>common_parking_time_limit</t>
  </si>
  <si>
    <t>Seconds per common-parking repair</t>
  </si>
  <si>
    <t>Global_parameter</t>
  </si>
  <si>
    <t>SOC_init</t>
  </si>
  <si>
    <t>Initial EV SOC ratio</t>
  </si>
  <si>
    <t>SOC_min</t>
  </si>
  <si>
    <t>Minimum EV SOC ratio</t>
  </si>
  <si>
    <t>omega</t>
  </si>
  <si>
    <t>[1.0, 10.0, 0.1]</t>
  </si>
  <si>
    <t>Charging, waiting and MCV-parking weights</t>
  </si>
  <si>
    <t>detour_factor</t>
  </si>
  <si>
    <t>Detour factor</t>
  </si>
  <si>
    <t>max_num_chg</t>
  </si>
  <si>
    <t>Maximum charging operations</t>
  </si>
  <si>
    <t>end_soc</t>
  </si>
  <si>
    <t>status</t>
  </si>
  <si>
    <t>primal_status</t>
  </si>
  <si>
    <t>feasible</t>
  </si>
  <si>
    <t>objective</t>
  </si>
  <si>
    <t>best_bound</t>
  </si>
  <si>
    <t>gap_percent</t>
  </si>
  <si>
    <t>ev_travel</t>
  </si>
  <si>
    <t>mcv_travel</t>
  </si>
  <si>
    <t>charging_duration</t>
  </si>
  <si>
    <t>ev_waiting</t>
  </si>
  <si>
    <t>mcv_parking_duration</t>
  </si>
  <si>
    <t>weighted_mcv_parking</t>
  </si>
  <si>
    <t>wall_clock_seconds</t>
  </si>
  <si>
    <t>node_count</t>
  </si>
  <si>
    <t>verification_model_pass</t>
  </si>
  <si>
    <t>verification_physical_pass</t>
  </si>
  <si>
    <t>verification_violations</t>
  </si>
  <si>
    <t>verification_physical_issues</t>
  </si>
  <si>
    <t>verification_max_residual</t>
  </si>
  <si>
    <t>postprocessing_ok</t>
  </si>
  <si>
    <t>time_limit_seconds</t>
  </si>
  <si>
    <t>NA</t>
  </si>
  <si>
    <t>Algorithm performance: BPB no PFI, 3-run means; MILP reference</t>
  </si>
  <si>
    <t>BPB: strict 3-run means. NA = unavailable or SOC not included. Gap = mean run gap.</t>
  </si>
  <si>
    <t>Time columns are elapsed seconds; counts may be fractional after averaging. See BPB report notes.</t>
  </si>
  <si>
    <t>Overall BPB arithmetic means (equal case weights)</t>
  </si>
  <si>
    <t>Group</t>
  </si>
  <si>
    <t>Obj.</t>
  </si>
  <si>
    <t>LB</t>
  </si>
  <si>
    <t>GAP(%)</t>
  </si>
  <si>
    <t>SOC 0.4</t>
  </si>
  <si>
    <t>SOC 0.7</t>
  </si>
  <si>
    <t>Overall (selected SOC)</t>
  </si>
  <si>
    <t>obj_decomp: BPB no PFI, 3-run means</t>
  </si>
  <si>
    <t>EV travel</t>
  </si>
  <si>
    <t>MCV_travel</t>
  </si>
  <si>
    <t>Charging duration</t>
  </si>
  <si>
    <t>EV waiting</t>
  </si>
  <si>
    <t>weighted MCV parking</t>
  </si>
  <si>
    <t>BPB detail: BPB no PFI, 3-run means</t>
  </si>
  <si>
    <t>Initial UB</t>
  </si>
  <si>
    <t>Final UB</t>
  </si>
  <si>
    <t>Columns</t>
  </si>
  <si>
    <t>Nodes</t>
  </si>
  <si>
    <t>Pricing calls</t>
  </si>
  <si>
    <t>Pricing time</t>
  </si>
  <si>
    <t>Oracle calls</t>
  </si>
  <si>
    <t>Oracle time</t>
  </si>
  <si>
    <t>Feasibility cuts</t>
  </si>
  <si>
    <t>Optimality cuts</t>
  </si>
  <si>
    <t>t_best (s)</t>
  </si>
  <si>
    <t>t_total (s)</t>
  </si>
  <si>
    <t>t_first (s)</t>
  </si>
  <si>
    <t>instance</t>
  </si>
  <si>
    <t>end_soc</t>
  </si>
  <si>
    <t>expected_runs</t>
  </si>
  <si>
    <t>recorded_runs</t>
  </si>
  <si>
    <t>completed_runs</t>
  </si>
  <si>
    <t>error_runs</t>
  </si>
  <si>
    <t>verified_runs</t>
  </si>
  <si>
    <t>certified_runs</t>
  </si>
  <si>
    <t>verified_percent</t>
  </si>
  <si>
    <t>certified_percent</t>
  </si>
  <si>
    <t>initial_upper_bound_n</t>
  </si>
  <si>
    <t>initial_upper_bound_mean</t>
  </si>
  <si>
    <t>initial_upper_bound_available_mean</t>
  </si>
  <si>
    <t>initial_upper_bound_std</t>
  </si>
  <si>
    <t>final_upper_bound_n</t>
  </si>
  <si>
    <t>final_upper_bound_mean</t>
  </si>
  <si>
    <t>final_upper_bound_available_mean</t>
  </si>
  <si>
    <t>final_upper_bound_std</t>
  </si>
  <si>
    <t>valid_lower_bound_n</t>
  </si>
  <si>
    <t>valid_lower_bound_mean</t>
  </si>
  <si>
    <t>valid_lower_bound_available_mean</t>
  </si>
  <si>
    <t>valid_lower_bound_std</t>
  </si>
  <si>
    <t>certified_gap_percent_n</t>
  </si>
  <si>
    <t>certified_gap_percent_mean</t>
  </si>
  <si>
    <t>certified_gap_percent_available_mean</t>
  </si>
  <si>
    <t>certified_gap_percent_std</t>
  </si>
  <si>
    <t>ev_travel_n</t>
  </si>
  <si>
    <t>ev_travel_mean</t>
  </si>
  <si>
    <t>ev_travel_available_mean</t>
  </si>
  <si>
    <t>ev_travel_std</t>
  </si>
  <si>
    <t>mcv_travel_n</t>
  </si>
  <si>
    <t>mcv_travel_mean</t>
  </si>
  <si>
    <t>mcv_travel_available_mean</t>
  </si>
  <si>
    <t>mcv_travel_std</t>
  </si>
  <si>
    <t>charging_duration_n</t>
  </si>
  <si>
    <t>charging_duration_mean</t>
  </si>
  <si>
    <t>charging_duration_available_mean</t>
  </si>
  <si>
    <t>charging_duration_std</t>
  </si>
  <si>
    <t>ev_waiting_n</t>
  </si>
  <si>
    <t>ev_waiting_mean</t>
  </si>
  <si>
    <t>ev_waiting_available_mean</t>
  </si>
  <si>
    <t>ev_waiting_std</t>
  </si>
  <si>
    <t>mcv_parking_duration_n</t>
  </si>
  <si>
    <t>mcv_parking_duration_mean</t>
  </si>
  <si>
    <t>mcv_parking_duration_available_mean</t>
  </si>
  <si>
    <t>mcv_parking_duration_std</t>
  </si>
  <si>
    <t>weighted_mcv_parking_n</t>
  </si>
  <si>
    <t>weighted_mcv_parking_mean</t>
  </si>
  <si>
    <t>weighted_mcv_parking_available_mean</t>
  </si>
  <si>
    <t>weighted_mcv_parking_std</t>
  </si>
  <si>
    <t>time_first_incumbent_seconds_n</t>
  </si>
  <si>
    <t>time_first_incumbent_seconds_mean</t>
  </si>
  <si>
    <t>time_first_incumbent_seconds_available_mean</t>
  </si>
  <si>
    <t>time_first_incumbent_seconds_std</t>
  </si>
  <si>
    <t>time_best_incumbent_seconds_n</t>
  </si>
  <si>
    <t>time_best_incumbent_seconds_mean</t>
  </si>
  <si>
    <t>time_best_incumbent_seconds_available_mean</t>
  </si>
  <si>
    <t>time_best_incumbent_seconds_std</t>
  </si>
  <si>
    <t>wall_clock_seconds_n</t>
  </si>
  <si>
    <t>wall_clock_seconds_mean</t>
  </si>
  <si>
    <t>wall_clock_seconds_available_mean</t>
  </si>
  <si>
    <t>wall_clock_seconds_std</t>
  </si>
  <si>
    <t>active_solver_seconds_n</t>
  </si>
  <si>
    <t>active_solver_seconds_mean</t>
  </si>
  <si>
    <t>active_solver_seconds_available_mean</t>
  </si>
  <si>
    <t>active_solver_seconds_std</t>
  </si>
  <si>
    <t>overhead_seconds_n</t>
  </si>
  <si>
    <t>overhead_seconds_mean</t>
  </si>
  <si>
    <t>overhead_seconds_available_mean</t>
  </si>
  <si>
    <t>overhead_seconds_std</t>
  </si>
  <si>
    <t>columns_n</t>
  </si>
  <si>
    <t>columns_mean</t>
  </si>
  <si>
    <t>columns_available_mean</t>
  </si>
  <si>
    <t>columns_std</t>
  </si>
  <si>
    <t>branch_nodes_n</t>
  </si>
  <si>
    <t>branch_nodes_mean</t>
  </si>
  <si>
    <t>branch_nodes_available_mean</t>
  </si>
  <si>
    <t>branch_nodes_std</t>
  </si>
  <si>
    <t>master_lp_calls_n</t>
  </si>
  <si>
    <t>master_lp_calls_mean</t>
  </si>
  <si>
    <t>master_lp_calls_available_mean</t>
  </si>
  <si>
    <t>master_lp_calls_std</t>
  </si>
  <si>
    <t>pricing_calls_n</t>
  </si>
  <si>
    <t>pricing_calls_mean</t>
  </si>
  <si>
    <t>pricing_calls_available_mean</t>
  </si>
  <si>
    <t>pricing_calls_std</t>
  </si>
  <si>
    <t>pricing_seconds_n</t>
  </si>
  <si>
    <t>pricing_seconds_mean</t>
  </si>
  <si>
    <t>pricing_seconds_available_mean</t>
  </si>
  <si>
    <t>pricing_seconds_std</t>
  </si>
  <si>
    <t>oracle_calls_n</t>
  </si>
  <si>
    <t>oracle_calls_mean</t>
  </si>
  <si>
    <t>oracle_calls_available_mean</t>
  </si>
  <si>
    <t>oracle_calls_std</t>
  </si>
  <si>
    <t>oracle_seconds_n</t>
  </si>
  <si>
    <t>oracle_seconds_mean</t>
  </si>
  <si>
    <t>oracle_seconds_available_mean</t>
  </si>
  <si>
    <t>oracle_seconds_std</t>
  </si>
  <si>
    <t>feasibility_cuts_n</t>
  </si>
  <si>
    <t>feasibility_cuts_mean</t>
  </si>
  <si>
    <t>feasibility_cuts_available_mean</t>
  </si>
  <si>
    <t>feasibility_cuts_std</t>
  </si>
  <si>
    <t>optimality_cuts_n</t>
  </si>
  <si>
    <t>optimality_cuts_mean</t>
  </si>
  <si>
    <t>optimality_cuts_available_mean</t>
  </si>
  <si>
    <t>optimality_cuts_std</t>
  </si>
  <si>
    <t>initialization_attempts_n</t>
  </si>
  <si>
    <t>initialization_attempts_mean</t>
  </si>
  <si>
    <t>initialization_attempts_available_mean</t>
  </si>
  <si>
    <t>initialization_attempts_std</t>
  </si>
  <si>
    <t>initialization_successes_n</t>
  </si>
  <si>
    <t>initialization_successes_mean</t>
  </si>
  <si>
    <t>initialization_successes_available_mean</t>
  </si>
  <si>
    <t>initialization_successes_std</t>
  </si>
  <si>
    <t>repair_calls_n</t>
  </si>
  <si>
    <t>repair_calls_mean</t>
  </si>
  <si>
    <t>repair_calls_available_mean</t>
  </si>
  <si>
    <t>repair_calls_std</t>
  </si>
  <si>
    <t>repair_successes_n</t>
  </si>
  <si>
    <t>repair_successes_mean</t>
  </si>
  <si>
    <t>repair_successes_available_mean</t>
  </si>
  <si>
    <t>repair_successes_std</t>
  </si>
  <si>
    <t>primal_search_attempts_n</t>
  </si>
  <si>
    <t>primal_search_attempts_mean</t>
  </si>
  <si>
    <t>primal_search_attempts_available_mean</t>
  </si>
  <si>
    <t>primal_search_attempts_std</t>
  </si>
  <si>
    <t>primal_search_improvements_n</t>
  </si>
  <si>
    <t>primal_search_improvements_mean</t>
  </si>
  <si>
    <t>primal_search_improvements_available_mean</t>
  </si>
  <si>
    <t>primal_search_improvements_std</t>
  </si>
  <si>
    <t>pricing_bound_updates_n</t>
  </si>
  <si>
    <t>pricing_bound_updates_mean</t>
  </si>
  <si>
    <t>pricing_bound_updates_available_mean</t>
  </si>
  <si>
    <t>pricing_bound_updates_std</t>
  </si>
  <si>
    <t>pfi_invocations_n</t>
  </si>
  <si>
    <t>pfi_invocations_mean</t>
  </si>
  <si>
    <t>pfi_invocations_available_mean</t>
  </si>
  <si>
    <t>pfi_invocations_std</t>
  </si>
  <si>
    <t>pfi_pricing_solves_n</t>
  </si>
  <si>
    <t>pfi_pricing_solves_mean</t>
  </si>
  <si>
    <t>pfi_pricing_solves_available_mean</t>
  </si>
  <si>
    <t>pfi_pricing_solves_std</t>
  </si>
  <si>
    <t>pfi_columns_n</t>
  </si>
  <si>
    <t>pfi_columns_mean</t>
  </si>
  <si>
    <t>pfi_columns_available_mean</t>
  </si>
  <si>
    <t>pfi_columns_std</t>
  </si>
  <si>
    <t>pfi_integer_improvements_n</t>
  </si>
  <si>
    <t>pfi_integer_improvements_mean</t>
  </si>
  <si>
    <t>pfi_integer_improvements_available_mean</t>
  </si>
  <si>
    <t>pfi_integer_improvements_std</t>
  </si>
  <si>
    <t>a2-16</t>
  </si>
  <si>
    <t>a2-20</t>
  </si>
  <si>
    <t>a2-24</t>
  </si>
  <si>
    <t>a3-18</t>
  </si>
  <si>
    <t>a3-24</t>
  </si>
  <si>
    <t>a3-30</t>
  </si>
  <si>
    <t>a3-36</t>
  </si>
  <si>
    <t>a4-16</t>
  </si>
  <si>
    <t>a4-24</t>
  </si>
  <si>
    <t>a4-32</t>
  </si>
  <si>
    <t>a4-40</t>
  </si>
  <si>
    <t>a4-48</t>
  </si>
  <si>
    <t>a5-40</t>
  </si>
  <si>
    <t>a5-50</t>
  </si>
  <si>
    <t>OPTIMAL</t>
  </si>
  <si>
    <t>FEASIBLE_POINT</t>
  </si>
  <si>
    <t>TIME_LIMIT</t>
  </si>
  <si>
    <t>NO_SOLUTION</t>
  </si>
  <si>
    <t>diff (%)</t>
  </si>
  <si>
    <t>EV wait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</si>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</sst>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1"/>
      <color theme="1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sz val="12"/>
      <name val="Aptos Narrow"/>
      <charset val="1"/>
    </font>
    <font>
      <b/>
      <sz val="11"/>
      <color theme="1"/>
      <name val="Aptos Narrow"/>
      <charset val="1"/>
    </font>
    <font>
      <b/>
      <sz val="11"/>
      <color rgb="FFFFFFFF"/>
      <name val="Aptos Narrow"/>
      <charset val="1"/>
    </font>
    <font>
      <sz val="10"/>
      <name val="Arial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0"/>
      <name val="Aptos Narrow"/>
      <family val="2"/>
    </font>
    <font>
      <b/>
      <sz val="11"/>
      <name val="Aptos Narrow"/>
      <family val="2"/>
    </font>
    <font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6B4F1D"/>
        <bgColor rgb="FF333300"/>
      </patternFill>
    </fill>
    <fill>
      <patternFill patternType="solid">
        <fgColor rgb="FF1F4E78"/>
        <bgColor rgb="FF0F6B5B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9B68B"/>
      </left>
      <right/>
      <top style="thin">
        <color rgb="FFC9B68B"/>
      </top>
      <bottom style="thin">
        <color rgb="FFE5E7EB"/>
      </bottom>
      <diagonal/>
    </border>
    <border>
      <left/>
      <right/>
      <top style="thin">
        <color rgb="FFC9B68B"/>
      </top>
      <bottom style="thin">
        <color rgb="FFE5E7EB"/>
      </bottom>
      <diagonal/>
    </border>
    <border>
      <left style="thin">
        <color rgb="FFC9B68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C9B68B"/>
      </left>
      <right/>
      <top style="thin">
        <color rgb="FFE5E7EB"/>
      </top>
      <bottom style="thin">
        <color rgb="FFC9B68B"/>
      </bottom>
      <diagonal/>
    </border>
    <border>
      <left/>
      <right/>
      <top style="thin">
        <color rgb="FFE5E7EB"/>
      </top>
      <bottom style="thin">
        <color rgb="FFC9B68B"/>
      </bottom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0" fontId="5" fillId="0" borderId="0" xfId="1" applyFont="1" applyAlignment="1">
      <alignment horizontal="right" vertical="center" wrapText="1"/>
    </xf>
    <xf numFmtId="0" fontId="6" fillId="2" borderId="8" xfId="1" applyFont="1" applyFill="1" applyBorder="1"/>
    <xf numFmtId="0" fontId="6" fillId="2" borderId="9" xfId="1" applyFont="1" applyFill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16" xfId="1" applyBorder="1"/>
    <xf numFmtId="164" fontId="1" fillId="0" borderId="16" xfId="1" applyNumberFormat="1" applyBorder="1"/>
    <xf numFmtId="165" fontId="1" fillId="0" borderId="16" xfId="1" applyNumberFormat="1" applyBorder="1"/>
    <xf numFmtId="164" fontId="1" fillId="0" borderId="11" xfId="1" applyNumberFormat="1" applyBorder="1"/>
    <xf numFmtId="165" fontId="1" fillId="0" borderId="11" xfId="1" applyNumberFormat="1" applyBorder="1"/>
    <xf numFmtId="0" fontId="1" fillId="0" borderId="17" xfId="1" applyBorder="1"/>
    <xf numFmtId="164" fontId="1" fillId="0" borderId="17" xfId="1" applyNumberFormat="1" applyBorder="1"/>
    <xf numFmtId="165" fontId="1" fillId="0" borderId="17" xfId="1" applyNumberFormat="1" applyBorder="1"/>
    <xf numFmtId="0" fontId="8" fillId="3" borderId="14" xfId="1" applyFont="1" applyFill="1" applyBorder="1" applyAlignment="1">
      <alignment vertical="center" wrapText="1"/>
    </xf>
    <xf numFmtId="0" fontId="8" fillId="3" borderId="15" xfId="1" applyFont="1" applyFill="1" applyBorder="1" applyAlignment="1">
      <alignment vertical="center" wrapText="1"/>
    </xf>
    <xf numFmtId="2" fontId="10" fillId="0" borderId="0" xfId="1" applyNumberFormat="1" applyFont="1"/>
    <xf numFmtId="2" fontId="10" fillId="0" borderId="0" xfId="1" applyNumberFormat="1" applyFont="1" applyAlignment="1">
      <alignment horizontal="right"/>
    </xf>
    <xf numFmtId="1" fontId="10" fillId="0" borderId="0" xfId="1" applyNumberFormat="1" applyFont="1"/>
    <xf numFmtId="2" fontId="9" fillId="0" borderId="0" xfId="1" applyNumberFormat="1" applyFont="1"/>
    <xf numFmtId="1" fontId="0" fillId="0" borderId="0" xfId="0" applyNumberFormat="1"/>
    <xf numFmtId="2" fontId="0" fillId="0" borderId="0" xfId="0" applyNumberFormat="1"/>
    <xf numFmtId="0" fontId="9" fillId="0" borderId="1" xfId="1" applyFont="1" applyBorder="1" applyAlignment="1">
      <alignment horizontal="center"/>
    </xf>
    <xf numFmtId="2" fontId="10" fillId="0" borderId="1" xfId="1" applyNumberFormat="1" applyFont="1" applyBorder="1"/>
    <xf numFmtId="2" fontId="10" fillId="0" borderId="1" xfId="1" applyNumberFormat="1" applyFont="1" applyBorder="1" applyAlignment="1">
      <alignment horizontal="right"/>
    </xf>
    <xf numFmtId="1" fontId="10" fillId="0" borderId="1" xfId="1" applyNumberFormat="1" applyFont="1" applyBorder="1"/>
    <xf numFmtId="2" fontId="9" fillId="0" borderId="2" xfId="1" applyNumberFormat="1" applyFont="1" applyBorder="1"/>
    <xf numFmtId="2" fontId="9" fillId="0" borderId="1" xfId="1" applyNumberFormat="1" applyFont="1" applyBorder="1"/>
    <xf numFmtId="1" fontId="1" fillId="0" borderId="1" xfId="1" applyNumberFormat="1" applyBorder="1"/>
    <xf numFmtId="1" fontId="9" fillId="0" borderId="1" xfId="1" applyNumberFormat="1" applyFont="1" applyBorder="1"/>
    <xf numFmtId="2" fontId="10" fillId="0" borderId="1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/>
    </xf>
    <xf numFmtId="0" fontId="11" fillId="0" borderId="0" xfId="1" applyFont="1" applyAlignment="1">
      <alignment horizontal="center"/>
    </xf>
    <xf numFmtId="2" fontId="9" fillId="0" borderId="4" xfId="1" applyNumberFormat="1" applyFont="1" applyBorder="1"/>
    <xf numFmtId="1" fontId="9" fillId="0" borderId="0" xfId="1" applyNumberFormat="1" applyFont="1"/>
    <xf numFmtId="0" fontId="12" fillId="0" borderId="0" xfId="1" applyFont="1" applyAlignment="1">
      <alignment horizontal="center"/>
    </xf>
    <xf numFmtId="2" fontId="10" fillId="0" borderId="0" xfId="2" applyNumberFormat="1" applyFont="1"/>
    <xf numFmtId="2" fontId="7" fillId="0" borderId="0" xfId="0" applyNumberFormat="1" applyFont="1" applyAlignment="1">
      <alignment horizontal="right"/>
    </xf>
    <xf numFmtId="1" fontId="10" fillId="0" borderId="5" xfId="1" applyNumberFormat="1" applyFont="1" applyBorder="1"/>
    <xf numFmtId="2" fontId="7" fillId="0" borderId="0" xfId="0" applyNumberFormat="1" applyFont="1"/>
    <xf numFmtId="2" fontId="12" fillId="0" borderId="0" xfId="1" applyNumberFormat="1" applyFont="1"/>
    <xf numFmtId="1" fontId="12" fillId="0" borderId="0" xfId="1" applyNumberFormat="1" applyFont="1"/>
    <xf numFmtId="0" fontId="12" fillId="0" borderId="6" xfId="1" applyFont="1" applyBorder="1" applyAlignment="1">
      <alignment horizontal="center"/>
    </xf>
    <xf numFmtId="2" fontId="10" fillId="0" borderId="6" xfId="2" applyNumberFormat="1" applyFont="1" applyBorder="1"/>
    <xf numFmtId="2" fontId="10" fillId="0" borderId="6" xfId="1" applyNumberFormat="1" applyFont="1" applyBorder="1"/>
    <xf numFmtId="2" fontId="10" fillId="0" borderId="6" xfId="1" applyNumberFormat="1" applyFont="1" applyBorder="1" applyAlignment="1">
      <alignment horizontal="right"/>
    </xf>
    <xf numFmtId="1" fontId="10" fillId="0" borderId="7" xfId="1" applyNumberFormat="1" applyFont="1" applyBorder="1"/>
    <xf numFmtId="2" fontId="9" fillId="0" borderId="6" xfId="1" applyNumberFormat="1" applyFont="1" applyBorder="1"/>
    <xf numFmtId="1" fontId="1" fillId="0" borderId="6" xfId="1" applyNumberFormat="1" applyBorder="1"/>
    <xf numFmtId="1" fontId="9" fillId="0" borderId="6" xfId="1" applyNumberFormat="1" applyFont="1" applyBorder="1"/>
    <xf numFmtId="0" fontId="9" fillId="0" borderId="0" xfId="1" applyFont="1" applyAlignment="1">
      <alignment horizontal="left"/>
    </xf>
    <xf numFmtId="2" fontId="9" fillId="0" borderId="0" xfId="1" applyNumberFormat="1" applyFont="1" applyAlignment="1">
      <alignment horizontal="right"/>
    </xf>
  </cellXfs>
  <cellStyles count="3">
    <cellStyle name="Normal" xfId="0" builtinId="0"/>
    <cellStyle name="Normal 2" xfId="2" xr:uid="{00000000-0005-0000-0000-000007000000}"/>
    <cellStyle name="Normal 3" xfId="1" xr:uid="{00000000-0005-0000-0000-000006000000}"/>
  </cellStyles>
  <dxfs count="4"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6B5B"/>
      <rgbColor rgb="FFAAB7C4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C9B68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1F4E78"/>
      <rgbColor rgb="FF6B4F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opLeftCell="A31" zoomScaleNormal="100" workbookViewId="0">
      <selection activeCell="F20" sqref="F20:K48"/>
    </sheetView>
  </sheetViews>
  <sheetFormatPr defaultColWidth="9.77734375" defaultRowHeight="14.4" x14ac:dyDescent="0.3"/>
  <cols>
    <col min="1" max="1" width="17.21875" style="1" customWidth="1"/>
    <col min="2" max="8" width="10.109375" style="2" customWidth="1"/>
  </cols>
  <sheetData>
    <row r="1" spans="1:11" ht="14.4" customHeight="1" x14ac:dyDescent="0.3">
      <c r="A1" s="1" t="s">
        <v>143</v>
      </c>
    </row>
    <row r="2" spans="1:11" ht="14.4" customHeight="1" x14ac:dyDescent="0.3">
      <c r="A2" s="30"/>
      <c r="B2" s="31"/>
      <c r="C2" s="31"/>
      <c r="D2" s="32" t="s">
        <v>0</v>
      </c>
      <c r="E2" s="33"/>
      <c r="F2" s="34"/>
      <c r="G2" s="35" t="s">
        <v>1</v>
      </c>
      <c r="H2" s="36"/>
      <c r="I2" s="37"/>
      <c r="J2" s="29"/>
      <c r="K2" s="29"/>
    </row>
    <row r="3" spans="1:11" ht="14.4" customHeight="1" x14ac:dyDescent="0.3">
      <c r="A3" s="30" t="s">
        <v>2</v>
      </c>
      <c r="B3" s="38" t="s">
        <v>3</v>
      </c>
      <c r="C3" s="38" t="s">
        <v>4</v>
      </c>
      <c r="D3" s="32" t="s">
        <v>5</v>
      </c>
      <c r="E3" s="39" t="s">
        <v>6</v>
      </c>
      <c r="F3" s="40" t="s">
        <v>3</v>
      </c>
      <c r="G3" s="40" t="s">
        <v>342</v>
      </c>
      <c r="H3" s="41" t="s">
        <v>7</v>
      </c>
      <c r="I3" s="41" t="s">
        <v>8</v>
      </c>
      <c r="J3" s="29" t="s">
        <v>29</v>
      </c>
      <c r="K3" s="29" t="s">
        <v>343</v>
      </c>
    </row>
    <row r="4" spans="1:11" ht="14.4" customHeight="1" x14ac:dyDescent="0.3">
      <c r="A4" s="42" t="s">
        <v>9</v>
      </c>
      <c r="B4" s="24"/>
      <c r="C4" s="24"/>
      <c r="D4" s="25"/>
      <c r="E4" s="26"/>
      <c r="F4" s="43"/>
      <c r="G4" s="27"/>
      <c r="H4" s="28"/>
      <c r="I4" s="44"/>
      <c r="J4" s="29"/>
      <c r="K4" s="29"/>
    </row>
    <row r="5" spans="1:11" ht="15.6" customHeight="1" x14ac:dyDescent="0.3">
      <c r="A5" s="45" t="s">
        <v>10</v>
      </c>
      <c r="B5" s="46">
        <v>294.24795014249145</v>
      </c>
      <c r="C5" s="24">
        <v>294.24795014249145</v>
      </c>
      <c r="D5" s="47">
        <v>0</v>
      </c>
      <c r="E5" s="48">
        <v>29.170000076293945</v>
      </c>
      <c r="F5" s="27"/>
      <c r="G5" s="29"/>
      <c r="H5" s="28"/>
      <c r="I5" s="44"/>
      <c r="J5" s="29"/>
    </row>
    <row r="6" spans="1:11" ht="15.6" customHeight="1" x14ac:dyDescent="0.3">
      <c r="A6" s="45" t="s">
        <v>11</v>
      </c>
      <c r="B6" s="46">
        <v>344.83406680672744</v>
      </c>
      <c r="C6" s="49">
        <v>344.83406680672738</v>
      </c>
      <c r="D6" s="25">
        <v>1.6484281668338647E-14</v>
      </c>
      <c r="E6" s="48">
        <v>178.13499999046326</v>
      </c>
      <c r="F6" s="50"/>
      <c r="G6" s="29"/>
      <c r="H6" s="28"/>
      <c r="I6" s="51"/>
      <c r="J6" s="29"/>
    </row>
    <row r="7" spans="1:11" ht="15.6" customHeight="1" x14ac:dyDescent="0.3">
      <c r="A7" s="45" t="s">
        <v>12</v>
      </c>
      <c r="B7" s="46">
        <v>431.12041125743104</v>
      </c>
      <c r="C7" s="24">
        <v>431.12041125743099</v>
      </c>
      <c r="D7" s="25">
        <v>1.3185044682763957E-14</v>
      </c>
      <c r="E7" s="48">
        <v>919.95900011062622</v>
      </c>
      <c r="F7" s="50"/>
      <c r="G7" s="29"/>
      <c r="H7" s="28"/>
      <c r="I7" s="51"/>
      <c r="J7" s="29"/>
    </row>
    <row r="8" spans="1:11" ht="15.6" customHeight="1" x14ac:dyDescent="0.3">
      <c r="A8" s="45" t="s">
        <v>13</v>
      </c>
      <c r="B8" s="46">
        <v>300.72085973832196</v>
      </c>
      <c r="C8" s="49">
        <v>300.72085973832196</v>
      </c>
      <c r="D8" s="47">
        <v>0</v>
      </c>
      <c r="E8" s="48">
        <v>264.73600006103516</v>
      </c>
      <c r="F8" s="27"/>
      <c r="G8" s="29"/>
      <c r="H8" s="28"/>
      <c r="I8" s="44"/>
      <c r="J8" s="29"/>
    </row>
    <row r="9" spans="1:11" ht="15.6" customHeight="1" x14ac:dyDescent="0.3">
      <c r="A9" s="45" t="s">
        <v>14</v>
      </c>
      <c r="B9" s="46">
        <v>344.83364949934276</v>
      </c>
      <c r="C9" s="49">
        <v>319.84415512340252</v>
      </c>
      <c r="D9" s="47">
        <v>7.2468259441101521</v>
      </c>
      <c r="E9" s="48">
        <v>7200.1180000305176</v>
      </c>
      <c r="F9" s="27"/>
      <c r="G9" s="29"/>
      <c r="H9" s="28"/>
      <c r="I9" s="44"/>
      <c r="J9" s="29"/>
    </row>
    <row r="10" spans="1:11" ht="15.6" customHeight="1" x14ac:dyDescent="0.3">
      <c r="A10" s="45" t="s">
        <v>15</v>
      </c>
      <c r="B10" s="46">
        <v>494.91943426552331</v>
      </c>
      <c r="C10" s="24">
        <v>448.54684218239635</v>
      </c>
      <c r="D10" s="25">
        <v>9.3697254285327087</v>
      </c>
      <c r="E10" s="48">
        <v>7200.1890001296997</v>
      </c>
      <c r="F10" s="27"/>
      <c r="G10" s="29"/>
      <c r="H10" s="28"/>
      <c r="I10" s="44"/>
      <c r="J10" s="29"/>
    </row>
    <row r="11" spans="1:11" ht="15.6" customHeight="1" x14ac:dyDescent="0.3">
      <c r="A11" s="45" t="s">
        <v>16</v>
      </c>
      <c r="B11" s="46">
        <v>588.97635581637815</v>
      </c>
      <c r="C11" s="24">
        <v>476.86408654471319</v>
      </c>
      <c r="D11" s="25">
        <v>19.035105257538991</v>
      </c>
      <c r="E11" s="48">
        <v>7200.1449999809265</v>
      </c>
      <c r="F11" s="27"/>
      <c r="G11" s="29"/>
      <c r="H11" s="28"/>
      <c r="I11" s="44"/>
      <c r="J11" s="29"/>
    </row>
    <row r="12" spans="1:11" ht="15.6" customHeight="1" x14ac:dyDescent="0.3">
      <c r="A12" s="45" t="s">
        <v>17</v>
      </c>
      <c r="B12" s="24">
        <v>285.9871658305542</v>
      </c>
      <c r="C12" s="24">
        <v>285.98716583055426</v>
      </c>
      <c r="D12" s="25">
        <v>1.9876213219472731E-14</v>
      </c>
      <c r="E12" s="48">
        <v>2546.3129999637604</v>
      </c>
      <c r="F12" s="27"/>
      <c r="G12" s="29"/>
      <c r="H12" s="28"/>
      <c r="I12" s="44"/>
      <c r="J12" s="29"/>
    </row>
    <row r="13" spans="1:11" ht="15.6" customHeight="1" x14ac:dyDescent="0.3">
      <c r="A13" s="45" t="s">
        <v>18</v>
      </c>
      <c r="B13" s="24">
        <v>375.01962414259242</v>
      </c>
      <c r="C13" s="24">
        <v>350.97333320818694</v>
      </c>
      <c r="D13" s="25">
        <v>6.4120087020466006</v>
      </c>
      <c r="E13" s="48">
        <v>7200.2080001831055</v>
      </c>
      <c r="F13" s="27"/>
      <c r="G13" s="29"/>
      <c r="H13" s="28"/>
      <c r="I13" s="44"/>
      <c r="J13" s="29"/>
    </row>
    <row r="14" spans="1:11" ht="15.6" customHeight="1" x14ac:dyDescent="0.3">
      <c r="A14" s="45" t="s">
        <v>19</v>
      </c>
      <c r="B14" s="46">
        <v>493.91580917946339</v>
      </c>
      <c r="C14" s="24">
        <v>364.12709956920025</v>
      </c>
      <c r="D14" s="25">
        <v>26.277496528381956</v>
      </c>
      <c r="E14" s="48">
        <v>7200.2329998016357</v>
      </c>
      <c r="F14" s="27"/>
      <c r="G14" s="29"/>
      <c r="H14" s="28"/>
      <c r="I14" s="44"/>
      <c r="J14" s="29"/>
    </row>
    <row r="15" spans="1:11" ht="15.6" customHeight="1" x14ac:dyDescent="0.3">
      <c r="A15" s="45" t="s">
        <v>20</v>
      </c>
      <c r="B15" s="49" t="s">
        <v>142</v>
      </c>
      <c r="C15" s="24">
        <v>403.90205765366596</v>
      </c>
      <c r="D15" s="25" t="s">
        <v>142</v>
      </c>
      <c r="E15" s="48">
        <v>7200.2560000419617</v>
      </c>
      <c r="F15" s="27"/>
      <c r="G15" s="25"/>
      <c r="H15" s="28"/>
      <c r="I15" s="44"/>
      <c r="J15" s="29"/>
    </row>
    <row r="16" spans="1:11" ht="15.6" customHeight="1" x14ac:dyDescent="0.3">
      <c r="A16" s="45" t="s">
        <v>21</v>
      </c>
      <c r="B16" s="46" t="s">
        <v>142</v>
      </c>
      <c r="C16" s="24">
        <v>383.72292192500345</v>
      </c>
      <c r="D16" s="47" t="s">
        <v>142</v>
      </c>
      <c r="E16" s="48">
        <v>7200.2329998016357</v>
      </c>
      <c r="F16" s="27"/>
      <c r="G16" s="25"/>
      <c r="H16" s="28"/>
      <c r="I16" s="44"/>
      <c r="J16" s="29"/>
    </row>
    <row r="17" spans="1:11" ht="15.6" customHeight="1" x14ac:dyDescent="0.3">
      <c r="A17" s="45" t="s">
        <v>22</v>
      </c>
      <c r="B17" s="24">
        <v>548.77327656220518</v>
      </c>
      <c r="C17" s="24">
        <v>347.45840708070193</v>
      </c>
      <c r="D17" s="47">
        <v>36.684524935806273</v>
      </c>
      <c r="E17" s="48">
        <v>7200.2269999980927</v>
      </c>
      <c r="F17" s="27"/>
      <c r="G17" s="29"/>
      <c r="H17" s="28"/>
      <c r="I17" s="44"/>
      <c r="J17" s="29"/>
    </row>
    <row r="18" spans="1:11" ht="15.6" customHeight="1" x14ac:dyDescent="0.3">
      <c r="A18" s="52" t="s">
        <v>23</v>
      </c>
      <c r="B18" s="53" t="s">
        <v>142</v>
      </c>
      <c r="C18" s="54">
        <v>405.46329837216069</v>
      </c>
      <c r="D18" s="55" t="s">
        <v>142</v>
      </c>
      <c r="E18" s="56">
        <v>7200.3280000686646</v>
      </c>
      <c r="F18" s="57"/>
      <c r="G18" s="25"/>
      <c r="H18" s="58"/>
      <c r="I18" s="59"/>
      <c r="J18" s="29"/>
    </row>
    <row r="19" spans="1:11" ht="14.4" customHeight="1" x14ac:dyDescent="0.3">
      <c r="A19" s="42" t="s">
        <v>24</v>
      </c>
      <c r="B19" s="24"/>
      <c r="C19" s="24"/>
      <c r="D19" s="25"/>
      <c r="E19" s="48"/>
      <c r="F19" s="27"/>
      <c r="G19" s="27" t="s">
        <v>344</v>
      </c>
      <c r="H19" s="28"/>
      <c r="I19" s="44"/>
      <c r="J19" s="29"/>
    </row>
    <row r="20" spans="1:11" ht="15.6" customHeight="1" x14ac:dyDescent="0.3">
      <c r="A20" s="45" t="s">
        <v>10</v>
      </c>
      <c r="B20" s="24">
        <v>295.19396850691851</v>
      </c>
      <c r="C20" s="24">
        <v>295.19396850691851</v>
      </c>
      <c r="D20" s="47">
        <v>0</v>
      </c>
      <c r="E20" s="48">
        <v>40.930999994277954</v>
      </c>
      <c r="F20" s="27">
        <v>295.19396850691845</v>
      </c>
      <c r="G20" s="29">
        <v>-1.9256294140534163E-14</v>
      </c>
      <c r="H20" s="28">
        <v>5.666333357493083</v>
      </c>
      <c r="I20" s="44">
        <v>300.1800000667572</v>
      </c>
      <c r="J20" s="29">
        <v>0</v>
      </c>
      <c r="K20">
        <v>0</v>
      </c>
    </row>
    <row r="21" spans="1:11" ht="15.6" customHeight="1" x14ac:dyDescent="0.3">
      <c r="A21" s="45" t="s">
        <v>11</v>
      </c>
      <c r="B21" s="49">
        <v>398.48618831805538</v>
      </c>
      <c r="C21" s="49">
        <v>398.48618831805538</v>
      </c>
      <c r="D21" s="25">
        <v>0</v>
      </c>
      <c r="E21" s="48">
        <v>1071.9730000495911</v>
      </c>
      <c r="F21" s="50">
        <v>405.77983784520075</v>
      </c>
      <c r="G21" s="29">
        <v>1.8303393545283604</v>
      </c>
      <c r="H21" s="28">
        <v>4.2926666736602783</v>
      </c>
      <c r="I21" s="51">
        <v>300.29300022125244</v>
      </c>
      <c r="J21" s="29">
        <v>34.313668039105458</v>
      </c>
      <c r="K21">
        <v>0</v>
      </c>
    </row>
    <row r="22" spans="1:11" ht="15.6" customHeight="1" x14ac:dyDescent="0.3">
      <c r="A22" s="45" t="s">
        <v>12</v>
      </c>
      <c r="B22" s="49">
        <v>587.45708100770844</v>
      </c>
      <c r="C22" s="24">
        <v>569.15309013436399</v>
      </c>
      <c r="D22" s="25">
        <v>3.1158005350699427</v>
      </c>
      <c r="E22" s="48">
        <v>7200.2219998836517</v>
      </c>
      <c r="F22" s="29">
        <v>587.91106221899656</v>
      </c>
      <c r="G22" s="29">
        <v>7.727904317867379E-2</v>
      </c>
      <c r="H22" s="28">
        <v>28.480666557947796</v>
      </c>
      <c r="I22" s="51">
        <v>300.16300010681152</v>
      </c>
      <c r="J22" s="29">
        <v>118.55261043141134</v>
      </c>
      <c r="K22">
        <v>0</v>
      </c>
    </row>
    <row r="23" spans="1:11" ht="15.6" customHeight="1" x14ac:dyDescent="0.3">
      <c r="A23" s="45" t="s">
        <v>13</v>
      </c>
      <c r="B23" s="49">
        <v>300.72085973832196</v>
      </c>
      <c r="C23" s="49">
        <v>300.72085973832196</v>
      </c>
      <c r="D23" s="47">
        <v>0</v>
      </c>
      <c r="E23" s="48">
        <v>174.01600003242493</v>
      </c>
      <c r="F23" s="29">
        <v>300.81722010008224</v>
      </c>
      <c r="G23" s="29">
        <v>3.2043125257132335E-2</v>
      </c>
      <c r="H23" s="28">
        <v>0.66599996884663903</v>
      </c>
      <c r="I23" s="44">
        <v>300.08100008964539</v>
      </c>
      <c r="J23" s="29">
        <v>0</v>
      </c>
      <c r="K23">
        <v>0</v>
      </c>
    </row>
    <row r="24" spans="1:11" ht="15.6" customHeight="1" x14ac:dyDescent="0.3">
      <c r="A24" s="45" t="s">
        <v>14</v>
      </c>
      <c r="B24" s="49">
        <v>344.83364956063866</v>
      </c>
      <c r="C24" s="49">
        <v>326.51295700029078</v>
      </c>
      <c r="D24" s="47">
        <v>5.3129074217933026</v>
      </c>
      <c r="E24" s="48">
        <v>7200.0950000286102</v>
      </c>
      <c r="F24" s="29">
        <v>345.09952757477123</v>
      </c>
      <c r="G24" s="29">
        <v>7.7103268335711947E-2</v>
      </c>
      <c r="H24" s="28">
        <v>2.628000020980835</v>
      </c>
      <c r="I24" s="44">
        <v>300.39100003242493</v>
      </c>
      <c r="J24" s="29">
        <v>0</v>
      </c>
      <c r="K24">
        <v>0</v>
      </c>
    </row>
    <row r="25" spans="1:11" ht="15.6" customHeight="1" x14ac:dyDescent="0.3">
      <c r="A25" s="45" t="s">
        <v>15</v>
      </c>
      <c r="B25" s="24">
        <v>568.76714392384031</v>
      </c>
      <c r="C25" s="24">
        <v>441.39142243690134</v>
      </c>
      <c r="D25" s="25">
        <v>22.395056192626164</v>
      </c>
      <c r="E25" s="48">
        <v>7200.2650001049042</v>
      </c>
      <c r="F25" s="27">
        <v>572.73326863296586</v>
      </c>
      <c r="G25" s="29">
        <v>0.69731958878001365</v>
      </c>
      <c r="H25" s="28">
        <v>18.261666615804035</v>
      </c>
      <c r="I25" s="44">
        <v>300.33200001716614</v>
      </c>
      <c r="J25" s="29">
        <v>35.308670027573989</v>
      </c>
      <c r="K25">
        <v>0</v>
      </c>
    </row>
    <row r="26" spans="1:11" ht="15.6" customHeight="1" x14ac:dyDescent="0.3">
      <c r="A26" s="45" t="s">
        <v>16</v>
      </c>
      <c r="B26" s="24" t="s">
        <v>142</v>
      </c>
      <c r="C26" s="24">
        <v>472.01815439914827</v>
      </c>
      <c r="D26" s="47" t="s">
        <v>142</v>
      </c>
      <c r="E26" s="48">
        <v>7200.1790001392365</v>
      </c>
      <c r="F26" s="27">
        <v>763.04314108259041</v>
      </c>
      <c r="G26" s="24" t="s">
        <v>142</v>
      </c>
      <c r="H26" s="28">
        <v>55.102333307266235</v>
      </c>
      <c r="I26" s="44">
        <v>300.42599987983704</v>
      </c>
      <c r="J26" s="29">
        <v>120.38178335995325</v>
      </c>
      <c r="K26">
        <v>0</v>
      </c>
    </row>
    <row r="27" spans="1:11" ht="15.6" customHeight="1" x14ac:dyDescent="0.3">
      <c r="A27" s="45" t="s">
        <v>17</v>
      </c>
      <c r="B27" s="24">
        <v>285.98716583055426</v>
      </c>
      <c r="C27" s="24">
        <v>285.98716583055523</v>
      </c>
      <c r="D27" s="47">
        <v>3.3789562473103635E-13</v>
      </c>
      <c r="E27" s="48">
        <v>1441.085000038147</v>
      </c>
      <c r="F27" s="27">
        <v>285.9871658305542</v>
      </c>
      <c r="G27" s="29">
        <v>-1.9876213219472725E-14</v>
      </c>
      <c r="H27" s="28">
        <v>1.312666654586792</v>
      </c>
      <c r="I27" s="44">
        <v>300.26500010490417</v>
      </c>
      <c r="J27" s="29">
        <v>0</v>
      </c>
      <c r="K27">
        <v>0</v>
      </c>
    </row>
    <row r="28" spans="1:11" ht="15.6" customHeight="1" x14ac:dyDescent="0.3">
      <c r="A28" s="45" t="s">
        <v>18</v>
      </c>
      <c r="B28" s="24">
        <v>375.01962414259242</v>
      </c>
      <c r="C28" s="24">
        <v>352.07793329573383</v>
      </c>
      <c r="D28" s="25">
        <v>6.1174640925285422</v>
      </c>
      <c r="E28" s="48">
        <v>7200.2110002040863</v>
      </c>
      <c r="F28" s="27">
        <v>378.68476281332022</v>
      </c>
      <c r="G28" s="29">
        <v>0.977319168058847</v>
      </c>
      <c r="H28" s="28">
        <v>3.119666576385498</v>
      </c>
      <c r="I28" s="44">
        <v>300.19500017166138</v>
      </c>
      <c r="J28" s="29">
        <v>0</v>
      </c>
      <c r="K28">
        <v>0</v>
      </c>
    </row>
    <row r="29" spans="1:11" ht="15.6" customHeight="1" x14ac:dyDescent="0.3">
      <c r="A29" s="45" t="s">
        <v>19</v>
      </c>
      <c r="B29" s="49">
        <v>517.90513976305328</v>
      </c>
      <c r="C29" s="24">
        <v>363.05357871558164</v>
      </c>
      <c r="D29" s="25">
        <v>29.899599204270835</v>
      </c>
      <c r="E29" s="48">
        <v>7200.300999879837</v>
      </c>
      <c r="F29" s="27">
        <v>496.14561623160495</v>
      </c>
      <c r="G29" s="29">
        <v>-4.201449620948642</v>
      </c>
      <c r="H29" s="28">
        <v>4.2463333606719971</v>
      </c>
      <c r="I29" s="44">
        <v>300.09500002861023</v>
      </c>
      <c r="J29" s="29">
        <v>0</v>
      </c>
      <c r="K29">
        <v>0</v>
      </c>
    </row>
    <row r="30" spans="1:11" ht="15.6" customHeight="1" x14ac:dyDescent="0.3">
      <c r="A30" s="45" t="s">
        <v>20</v>
      </c>
      <c r="B30" s="49">
        <v>763.72282763170824</v>
      </c>
      <c r="C30" s="24">
        <v>406.28972582539535</v>
      </c>
      <c r="D30" s="25">
        <v>46.801416544626143</v>
      </c>
      <c r="E30" s="48">
        <v>7200.3810000419617</v>
      </c>
      <c r="F30" s="27">
        <v>587.96320333483038</v>
      </c>
      <c r="G30" s="29">
        <v>-23.013535531195988</v>
      </c>
      <c r="H30" s="28">
        <v>10.532000064849854</v>
      </c>
      <c r="I30" s="44">
        <v>300.28800010681152</v>
      </c>
      <c r="J30" s="29">
        <v>0</v>
      </c>
      <c r="K30">
        <v>0</v>
      </c>
    </row>
    <row r="31" spans="1:11" ht="15.6" customHeight="1" x14ac:dyDescent="0.3">
      <c r="A31" s="45" t="s">
        <v>21</v>
      </c>
      <c r="B31" s="24" t="s">
        <v>142</v>
      </c>
      <c r="C31" s="24">
        <v>400.4197581391802</v>
      </c>
      <c r="D31" s="47" t="s">
        <v>142</v>
      </c>
      <c r="E31" s="48">
        <v>7200.2460000514984</v>
      </c>
      <c r="F31" s="27">
        <v>778.80313927738769</v>
      </c>
      <c r="G31" s="24" t="s">
        <v>142</v>
      </c>
      <c r="H31" s="28">
        <v>39.921333312988281</v>
      </c>
      <c r="I31" s="44">
        <v>300.30200004577637</v>
      </c>
      <c r="J31" s="29">
        <v>52.896640195537309</v>
      </c>
      <c r="K31">
        <v>0</v>
      </c>
    </row>
    <row r="32" spans="1:11" ht="15.6" customHeight="1" x14ac:dyDescent="0.3">
      <c r="A32" s="45" t="s">
        <v>22</v>
      </c>
      <c r="B32" s="24" t="s">
        <v>142</v>
      </c>
      <c r="C32" s="24">
        <v>338.31803342376537</v>
      </c>
      <c r="D32" s="47" t="s">
        <v>142</v>
      </c>
      <c r="E32" s="48">
        <v>7200.25</v>
      </c>
      <c r="F32" s="27">
        <v>518.14683649260235</v>
      </c>
      <c r="G32" s="24" t="s">
        <v>142</v>
      </c>
      <c r="H32" s="28">
        <v>8.7599999904632568</v>
      </c>
      <c r="I32" s="44">
        <v>300.22899985313416</v>
      </c>
      <c r="J32" s="29">
        <v>0</v>
      </c>
      <c r="K32">
        <v>0</v>
      </c>
    </row>
    <row r="33" spans="1:11" ht="15.6" customHeight="1" x14ac:dyDescent="0.3">
      <c r="A33" s="52" t="s">
        <v>23</v>
      </c>
      <c r="B33" s="54" t="s">
        <v>142</v>
      </c>
      <c r="C33" s="54">
        <v>407.6029588687004</v>
      </c>
      <c r="D33" s="55" t="s">
        <v>142</v>
      </c>
      <c r="E33" s="56">
        <v>7200.7030000686646</v>
      </c>
      <c r="F33" s="57">
        <v>710.41056632651123</v>
      </c>
      <c r="G33" s="24" t="s">
        <v>142</v>
      </c>
      <c r="H33" s="28">
        <v>18.671000003814697</v>
      </c>
      <c r="I33" s="59">
        <v>300.11400008201599</v>
      </c>
      <c r="J33" s="29">
        <v>0</v>
      </c>
      <c r="K33">
        <v>0</v>
      </c>
    </row>
    <row r="34" spans="1:11" ht="14.4" customHeight="1" x14ac:dyDescent="0.3">
      <c r="A34" s="42" t="s">
        <v>25</v>
      </c>
      <c r="B34" s="24"/>
      <c r="C34" s="24"/>
      <c r="D34" s="25"/>
      <c r="E34" s="48"/>
      <c r="F34" s="27"/>
      <c r="G34" s="27"/>
      <c r="H34" s="28"/>
      <c r="I34" s="44"/>
      <c r="J34" s="29"/>
    </row>
    <row r="35" spans="1:11" ht="15.6" customHeight="1" x14ac:dyDescent="0.3">
      <c r="A35" s="45" t="s">
        <v>10</v>
      </c>
      <c r="B35" s="24">
        <v>470.95318134914515</v>
      </c>
      <c r="C35" s="24">
        <v>470.95318134914504</v>
      </c>
      <c r="D35" s="47">
        <v>2.4139732403109796E-14</v>
      </c>
      <c r="E35" s="48">
        <v>225.96199989318848</v>
      </c>
      <c r="F35" s="27">
        <v>470.95318134914214</v>
      </c>
      <c r="G35" s="29">
        <v>-6.3970290868240956E-13</v>
      </c>
      <c r="H35" s="28">
        <v>1.7383333047231038</v>
      </c>
      <c r="I35" s="44">
        <v>300.07399988174438</v>
      </c>
      <c r="J35" s="29">
        <v>140.2348355991316</v>
      </c>
      <c r="K35">
        <v>0</v>
      </c>
    </row>
    <row r="36" spans="1:11" ht="15.6" customHeight="1" x14ac:dyDescent="0.3">
      <c r="A36" s="45" t="s">
        <v>11</v>
      </c>
      <c r="B36" s="24">
        <v>639.40058856583346</v>
      </c>
      <c r="C36" s="24">
        <v>553.28791671588317</v>
      </c>
      <c r="D36" s="25">
        <v>13.467718577347545</v>
      </c>
      <c r="E36" s="48">
        <v>7200.069000005722</v>
      </c>
      <c r="F36" s="50">
        <v>627.58661410692287</v>
      </c>
      <c r="G36" s="29">
        <v>-1.8476639950252738</v>
      </c>
      <c r="H36" s="28">
        <v>38.648333390553795</v>
      </c>
      <c r="I36" s="44">
        <v>300.125</v>
      </c>
      <c r="J36" s="29">
        <v>202.18453626549561</v>
      </c>
      <c r="K36">
        <v>0</v>
      </c>
    </row>
    <row r="37" spans="1:11" ht="15.6" customHeight="1" x14ac:dyDescent="0.3">
      <c r="A37" s="45" t="s">
        <v>12</v>
      </c>
      <c r="B37" s="49">
        <v>803.80321602955007</v>
      </c>
      <c r="C37" s="24">
        <v>723.73670294083706</v>
      </c>
      <c r="D37" s="25">
        <v>9.9609595348732149</v>
      </c>
      <c r="E37" s="48">
        <v>7200.1819999217987</v>
      </c>
      <c r="F37" s="27">
        <v>795.72301033291785</v>
      </c>
      <c r="G37" s="29">
        <v>-1.005246748892725</v>
      </c>
      <c r="H37" s="28">
        <v>45.135000069936119</v>
      </c>
      <c r="I37" s="44">
        <v>300.31800007820129</v>
      </c>
      <c r="J37" s="29">
        <v>285.96167418109428</v>
      </c>
      <c r="K37">
        <v>0</v>
      </c>
    </row>
    <row r="38" spans="1:11" ht="15.6" customHeight="1" x14ac:dyDescent="0.3">
      <c r="A38" s="45" t="s">
        <v>13</v>
      </c>
      <c r="B38" s="49">
        <v>399.14330594614557</v>
      </c>
      <c r="C38" s="49">
        <v>399.14330594614449</v>
      </c>
      <c r="D38" s="47">
        <v>2.705857626235813E-13</v>
      </c>
      <c r="E38" s="48">
        <v>4123.4690001010895</v>
      </c>
      <c r="F38" s="27">
        <v>399.14330594613148</v>
      </c>
      <c r="G38" s="29">
        <v>-3.5318562700341138E-12</v>
      </c>
      <c r="H38" s="28">
        <v>25.999333302179974</v>
      </c>
      <c r="I38" s="44">
        <v>300.40199995040894</v>
      </c>
      <c r="J38" s="29">
        <v>67.647790552562071</v>
      </c>
      <c r="K38">
        <v>0</v>
      </c>
    </row>
    <row r="39" spans="1:11" ht="15.6" customHeight="1" x14ac:dyDescent="0.3">
      <c r="A39" s="45" t="s">
        <v>14</v>
      </c>
      <c r="B39" s="49">
        <v>528.06833835875739</v>
      </c>
      <c r="C39" s="24">
        <v>349.10509149816289</v>
      </c>
      <c r="D39" s="25">
        <v>33.890167968944013</v>
      </c>
      <c r="E39" s="48">
        <v>7200.1319999694824</v>
      </c>
      <c r="F39" s="27">
        <v>514.14711959944714</v>
      </c>
      <c r="G39" s="29">
        <v>-2.6362532551331448</v>
      </c>
      <c r="H39" s="28">
        <v>32.636333306630455</v>
      </c>
      <c r="I39" s="44">
        <v>300.20700001716614</v>
      </c>
      <c r="J39" s="29">
        <v>123.54178036291118</v>
      </c>
      <c r="K39">
        <v>0</v>
      </c>
    </row>
    <row r="40" spans="1:11" ht="15.6" customHeight="1" x14ac:dyDescent="0.3">
      <c r="A40" s="45" t="s">
        <v>15</v>
      </c>
      <c r="B40" s="24" t="s">
        <v>142</v>
      </c>
      <c r="C40" s="24">
        <v>580.45748747540949</v>
      </c>
      <c r="D40" s="47" t="s">
        <v>142</v>
      </c>
      <c r="E40" s="48">
        <v>7200.1210000514984</v>
      </c>
      <c r="F40" s="27">
        <v>870.42446882402817</v>
      </c>
      <c r="G40" s="24" t="s">
        <v>142</v>
      </c>
      <c r="H40" s="28">
        <v>39.647333304087319</v>
      </c>
      <c r="I40" s="44">
        <v>300.06500005722046</v>
      </c>
      <c r="J40" s="29">
        <v>281.09113656548385</v>
      </c>
      <c r="K40">
        <v>0</v>
      </c>
    </row>
    <row r="41" spans="1:11" ht="15.6" customHeight="1" x14ac:dyDescent="0.3">
      <c r="A41" s="45" t="s">
        <v>16</v>
      </c>
      <c r="B41" s="24" t="s">
        <v>142</v>
      </c>
      <c r="C41" s="24">
        <v>710.41179883985865</v>
      </c>
      <c r="D41" s="47" t="s">
        <v>142</v>
      </c>
      <c r="E41" s="48">
        <v>7200.2070000171661</v>
      </c>
      <c r="F41" s="27">
        <v>1039.3079995364112</v>
      </c>
      <c r="G41" s="24" t="s">
        <v>142</v>
      </c>
      <c r="H41" s="28">
        <v>35.552333196004234</v>
      </c>
      <c r="I41" s="44">
        <v>300.28200006484985</v>
      </c>
      <c r="J41" s="29">
        <v>378.94883834095566</v>
      </c>
      <c r="K41">
        <v>0</v>
      </c>
    </row>
    <row r="42" spans="1:11" ht="15.6" customHeight="1" x14ac:dyDescent="0.3">
      <c r="A42" s="45" t="s">
        <v>17</v>
      </c>
      <c r="B42" s="24">
        <v>290.09628522211261</v>
      </c>
      <c r="C42" s="24">
        <v>290.09628522211267</v>
      </c>
      <c r="D42" s="47">
        <v>1.9594673133192925E-14</v>
      </c>
      <c r="E42" s="48">
        <v>2266.7990000247955</v>
      </c>
      <c r="F42" s="29">
        <v>290.20459295136777</v>
      </c>
      <c r="G42" s="29">
        <v>3.7335096922124784E-2</v>
      </c>
      <c r="H42" s="28">
        <v>163.35500001907349</v>
      </c>
      <c r="I42" s="44">
        <v>300.15400004386902</v>
      </c>
      <c r="J42" s="29">
        <v>0</v>
      </c>
      <c r="K42">
        <v>0</v>
      </c>
    </row>
    <row r="43" spans="1:11" ht="15.6" customHeight="1" x14ac:dyDescent="0.3">
      <c r="A43" s="45" t="s">
        <v>18</v>
      </c>
      <c r="B43" s="24">
        <v>525.95746281093864</v>
      </c>
      <c r="C43" s="24">
        <v>343.53900660653153</v>
      </c>
      <c r="D43" s="25">
        <v>34.683119663230158</v>
      </c>
      <c r="E43" s="48">
        <v>7200.2409999370575</v>
      </c>
      <c r="F43" s="29">
        <v>503.04187444360383</v>
      </c>
      <c r="G43" s="29">
        <v>-4.3569280764387734</v>
      </c>
      <c r="H43" s="28">
        <v>14.757333358128866</v>
      </c>
      <c r="I43" s="44">
        <v>300.11199998855591</v>
      </c>
      <c r="J43" s="29">
        <v>76.407479514174781</v>
      </c>
      <c r="K43">
        <v>0</v>
      </c>
    </row>
    <row r="44" spans="1:11" ht="15.6" customHeight="1" x14ac:dyDescent="0.3">
      <c r="A44" s="45" t="s">
        <v>19</v>
      </c>
      <c r="B44" s="24" t="s">
        <v>142</v>
      </c>
      <c r="C44" s="24">
        <v>389.58288084746442</v>
      </c>
      <c r="D44" s="47" t="s">
        <v>142</v>
      </c>
      <c r="E44" s="48">
        <v>7200.5280001163483</v>
      </c>
      <c r="F44" s="29">
        <v>733.14183085297179</v>
      </c>
      <c r="G44" s="24" t="s">
        <v>142</v>
      </c>
      <c r="H44" s="28">
        <v>50.13933332761129</v>
      </c>
      <c r="I44" s="44">
        <v>300.30599999427795</v>
      </c>
      <c r="J44" s="29">
        <v>180.30772006656221</v>
      </c>
      <c r="K44">
        <v>0</v>
      </c>
    </row>
    <row r="45" spans="1:11" ht="15.6" customHeight="1" x14ac:dyDescent="0.3">
      <c r="A45" s="45" t="s">
        <v>20</v>
      </c>
      <c r="B45" s="49" t="s">
        <v>142</v>
      </c>
      <c r="C45" s="24">
        <v>484.65444609165866</v>
      </c>
      <c r="D45" s="25" t="s">
        <v>142</v>
      </c>
      <c r="E45" s="48">
        <v>7200.2469999790192</v>
      </c>
      <c r="F45" s="29">
        <v>943.329148159802</v>
      </c>
      <c r="G45" s="24" t="s">
        <v>142</v>
      </c>
      <c r="H45" s="28">
        <v>57.515666643778481</v>
      </c>
      <c r="I45" s="44">
        <v>300.27699995040894</v>
      </c>
      <c r="J45" s="29">
        <v>273.85451792358674</v>
      </c>
      <c r="K45">
        <v>0</v>
      </c>
    </row>
    <row r="46" spans="1:11" ht="15.6" customHeight="1" x14ac:dyDescent="0.3">
      <c r="A46" s="45" t="s">
        <v>21</v>
      </c>
      <c r="B46" s="24" t="s">
        <v>142</v>
      </c>
      <c r="C46" s="24">
        <v>464.42811750674548</v>
      </c>
      <c r="D46" s="47" t="s">
        <v>142</v>
      </c>
      <c r="E46" s="48">
        <v>7200.1760001182556</v>
      </c>
      <c r="F46" s="29">
        <v>1246.4317763971374</v>
      </c>
      <c r="G46" s="24" t="s">
        <v>142</v>
      </c>
      <c r="H46" s="28">
        <v>56.404333353042603</v>
      </c>
      <c r="I46" s="44">
        <v>300.24699997901917</v>
      </c>
      <c r="J46" s="29">
        <v>419.81029261437334</v>
      </c>
      <c r="K46">
        <v>0</v>
      </c>
    </row>
    <row r="47" spans="1:11" ht="15.6" customHeight="1" x14ac:dyDescent="0.3">
      <c r="A47" s="45" t="s">
        <v>22</v>
      </c>
      <c r="B47" s="24" t="s">
        <v>142</v>
      </c>
      <c r="C47" s="24">
        <v>337.98248091445771</v>
      </c>
      <c r="D47" s="47" t="s">
        <v>142</v>
      </c>
      <c r="E47" s="48">
        <v>7200.228000164032</v>
      </c>
      <c r="F47" s="29">
        <v>729.67217724969726</v>
      </c>
      <c r="G47" s="24" t="s">
        <v>142</v>
      </c>
      <c r="H47" s="28">
        <v>45.095666646957397</v>
      </c>
      <c r="I47" s="44">
        <v>300.22399997711182</v>
      </c>
      <c r="J47" s="29">
        <v>138.07865481106691</v>
      </c>
      <c r="K47">
        <v>0</v>
      </c>
    </row>
    <row r="48" spans="1:11" ht="15.6" customHeight="1" x14ac:dyDescent="0.3">
      <c r="A48" s="52" t="s">
        <v>23</v>
      </c>
      <c r="B48" s="54" t="s">
        <v>142</v>
      </c>
      <c r="C48" s="54">
        <v>406.0125452553641</v>
      </c>
      <c r="D48" s="55" t="s">
        <v>142</v>
      </c>
      <c r="E48" s="56">
        <v>7200.3309998512268</v>
      </c>
      <c r="F48" s="57">
        <v>1267.5280474826166</v>
      </c>
      <c r="G48" s="24" t="s">
        <v>142</v>
      </c>
      <c r="H48" s="28">
        <v>48.472000122070313</v>
      </c>
      <c r="I48" s="59">
        <v>300.2020001411438</v>
      </c>
      <c r="J48" s="29">
        <v>382.52419131482293</v>
      </c>
      <c r="K48">
        <v>0</v>
      </c>
    </row>
    <row r="49" spans="1:11" ht="14.4" customHeight="1" x14ac:dyDescent="0.3">
      <c r="A49" s="60" t="s">
        <v>26</v>
      </c>
      <c r="B49" s="27"/>
      <c r="C49" s="27"/>
      <c r="D49" s="61"/>
      <c r="E49" s="44"/>
      <c r="F49" s="27"/>
      <c r="G49" s="27"/>
      <c r="H49" s="28"/>
      <c r="I49" s="44"/>
      <c r="J49" s="29"/>
      <c r="K49" s="29"/>
    </row>
    <row r="50" spans="1:11" x14ac:dyDescent="0.3">
      <c r="A50" t="s">
        <v>145</v>
      </c>
    </row>
    <row r="52" spans="1:11" x14ac:dyDescent="0.3">
      <c r="A52" t="s">
        <v>146</v>
      </c>
    </row>
    <row r="53" spans="1:11" x14ac:dyDescent="0.3">
      <c r="A53" t="s">
        <v>147</v>
      </c>
      <c r="F53" t="s">
        <v>148</v>
      </c>
      <c r="G53" t="s">
        <v>149</v>
      </c>
      <c r="H53" t="s">
        <v>150</v>
      </c>
      <c r="I53" t="s">
        <v>171</v>
      </c>
      <c r="J53" t="s">
        <v>172</v>
      </c>
    </row>
    <row r="54" spans="1:11" x14ac:dyDescent="0.3">
      <c r="A54" t="s">
        <v>151</v>
      </c>
      <c r="F54">
        <f>IF(COUNT(F20,F21,F22,F23,F24,F25,F26,F27,F28,F29,F30,F31,F32,F33)=14,AVERAGE(F20,F21,F22,F23,F24,F25,F26,F27,F28,F29,F30,F31,F32,F33),"NA")</f>
        <v>501.90852259059545</v>
      </c>
      <c r="G54" t="str">
        <f>IF(COUNT(G20,G21,G22,G23,G24,G25,G26,G27,G28,G29,G30,G31,G32,G33)=14,AVERAGE(G20,G21,G22,G23,G24,G25,G26,G27,G28,G29,G30,G31,G32,G33),"NA")</f>
        <v>NA</v>
      </c>
      <c r="H54">
        <f>IF(COUNT(H20,H21,H22,H23,H24,H25,H26,H27,H28,H29,H30,H31,H32,H33)=14,AVERAGE(H20,H21,H22,H23,H24,H25,H26,H27,H28,H29,H30,H31,H32,H33),"NA")</f>
        <v>14.404333318982806</v>
      </c>
      <c r="I54">
        <f>IF(COUNT(I20,I21,I22,I23,I24,I25,I26,I27,I28,I29,I30,I31,I32,I33)=14,AVERAGE(I20,I21,I22,I23,I24,I25,I26,I27,I28,I29,I30,I31,I32,I33),"NA")</f>
        <v>300.23957148620059</v>
      </c>
      <c r="J54">
        <f>IF(COUNT(J20,J21,J22,J23,J24,J25,J26,J27,J28,J29,J30,J31,J32,J33)=14,AVERAGE(J20,J21,J22,J23,J24,J25,J26,J27,J28,J29,J30,J31,J32,J33),"NA")</f>
        <v>25.818098003827238</v>
      </c>
    </row>
    <row r="55" spans="1:11" x14ac:dyDescent="0.3">
      <c r="A55" t="s">
        <v>152</v>
      </c>
      <c r="F55">
        <f>IF(COUNT(F35,F36,F37,F38,F39,F40,F41,F42,F43,F44,F45,F46,F47,F48)=14,AVERAGE(F35,F36,F37,F38,F39,F40,F41,F42,F43,F44,F45,F46,F47,F48),"NA")</f>
        <v>745.0453676594426</v>
      </c>
      <c r="G55" t="str">
        <f>IF(COUNT(G35,G36,G37,G38,G39,G40,G41,G42,G43,G44,G45,G46,G47,G48)=14,AVERAGE(G35,G36,G37,G38,G39,G40,G41,G42,G43,G44,G45,G46,G47,G48),"NA")</f>
        <v>NA</v>
      </c>
      <c r="H55">
        <f>IF(COUNT(H35,H36,H37,H38,H39,H40,H41,H42,H43,H44,H45,H46,H47,H48)=14,AVERAGE(H35,H36,H37,H38,H39,H40,H41,H42,H43,H44,H45,H46,H47,H48),"NA")</f>
        <v>46.792595238912668</v>
      </c>
      <c r="I55">
        <f>IF(COUNT(I35,I36,I37,I38,I39,I40,I41,I42,I43,I44,I45,I46,I47,I48)=14,AVERAGE(I35,I36,I37,I38,I39,I40,I41,I42,I43,I44,I45,I46,I47,I48),"NA")</f>
        <v>300.21392858028412</v>
      </c>
      <c r="J55">
        <f>IF(COUNT(J35,J36,J37,J38,J39,J40,J41,J42,J43,J44,J45,J46,J47,J48)=14,AVERAGE(J35,J36,J37,J38,J39,J40,J41,J42,J43,J44,J45,J46,J47,J48),"NA")</f>
        <v>210.75667486515866</v>
      </c>
    </row>
    <row r="56" spans="1:11" x14ac:dyDescent="0.3">
      <c r="A56" t="s">
        <v>153</v>
      </c>
      <c r="F56">
        <f>IF(COUNT(F20,F21,F22,F23,F24,F25,F26,F27,F28,F29,F30,F31,F32,F33,F35,F36,F37,F38,F39,F40,F41,F42,F43,F44,F45,F46,F47,F48)=28,AVERAGE(F20,F21,F22,F23,F24,F25,F26,F27,F28,F29,F30,F31,F32,F33,F35,F36,F37,F38,F39,F40,F41,F42,F43,F44,F45,F46,F47,F48),"NA")</f>
        <v>623.47694512501926</v>
      </c>
      <c r="G56" t="str">
        <f>IF(COUNT(G20,G21,G22,G23,G24,G25,G26,G27,G28,G29,G30,G31,G32,G33,G35,G36,G37,G38,G39,G40,G41,G42,G43,G44,G45,G46,G47,G48)=28,AVERAGE(G20,G21,G22,G23,G24,G25,G26,G27,G28,G29,G30,G31,G32,G33,G35,G36,G37,G38,G39,G40,G41,G42,G43,G44,G45,G46,G47,G48),"NA")</f>
        <v>NA</v>
      </c>
      <c r="H56">
        <f>IF(COUNT(H20,H21,H22,H23,H24,H25,H26,H27,H28,H29,H30,H31,H32,H33,H35,H36,H37,H38,H39,H40,H41,H42,H43,H44,H45,H46,H47,H48)=28,AVERAGE(H20,H21,H22,H23,H24,H25,H26,H27,H28,H29,H30,H31,H32,H33,H35,H36,H37,H38,H39,H40,H41,H42,H43,H44,H45,H46,H47,H48),"NA")</f>
        <v>30.598464278947741</v>
      </c>
      <c r="I56">
        <f>IF(COUNT(I20,I21,I22,I23,I24,I25,I26,I27,I28,I29,I30,I31,I32,I33,I35,I36,I37,I38,I39,I40,I41,I42,I43,I44,I45,I46,I47,I48)=28,AVERAGE(I20,I21,I22,I23,I24,I25,I26,I27,I28,I29,I30,I31,I32,I33,I35,I36,I37,I38,I39,I40,I41,I42,I43,I44,I45,I46,I47,I48),"NA")</f>
        <v>300.22675003324235</v>
      </c>
      <c r="J56">
        <f>IF(COUNT(J20,J21,J22,J23,J24,J25,J26,J27,J28,J29,J30,J31,J32,J33,J35,J36,J37,J38,J39,J40,J41,J42,J43,J44,J45,J46,J47,J48)=28,AVERAGE(J20,J21,J22,J23,J24,J25,J26,J27,J28,J29,J30,J31,J32,J33,J35,J36,J37,J38,J39,J40,J41,J42,J43,J44,J45,J46,J47,J48),"NA")</f>
        <v>118.28738643449294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opLeftCell="A29" zoomScaleNormal="100" workbookViewId="0">
      <selection activeCell="I56" sqref="I56"/>
    </sheetView>
  </sheetViews>
  <sheetFormatPr defaultColWidth="9.77734375" defaultRowHeight="14.4" x14ac:dyDescent="0.3"/>
  <cols>
    <col min="1" max="1" width="17.21875" style="1" customWidth="1"/>
    <col min="4" max="4" width="11.33203125" customWidth="1"/>
    <col min="5" max="5" width="17.21875" customWidth="1"/>
    <col min="6" max="7" width="16.5546875" customWidth="1"/>
  </cols>
  <sheetData>
    <row r="1" spans="1:7" ht="14.4" customHeight="1" x14ac:dyDescent="0.3">
      <c r="A1" s="1" t="s">
        <v>154</v>
      </c>
    </row>
    <row r="2" spans="1:7" ht="14.4" customHeight="1" x14ac:dyDescent="0.3">
      <c r="A2" s="3"/>
    </row>
    <row r="3" spans="1:7" ht="14.4" customHeight="1" x14ac:dyDescent="0.3">
      <c r="A3" s="3" t="s">
        <v>2</v>
      </c>
      <c r="B3" t="s">
        <v>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</row>
    <row r="4" spans="1:7" ht="14.4" customHeight="1" x14ac:dyDescent="0.3">
      <c r="A4" s="4" t="s">
        <v>9</v>
      </c>
    </row>
    <row r="5" spans="1:7" ht="15.6" customHeight="1" x14ac:dyDescent="0.3">
      <c r="A5" s="5" t="s">
        <v>10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</row>
    <row r="6" spans="1:7" ht="15.6" customHeight="1" x14ac:dyDescent="0.3">
      <c r="A6" s="5" t="s">
        <v>11</v>
      </c>
      <c r="B6" t="s">
        <v>142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</row>
    <row r="7" spans="1:7" ht="15.6" customHeight="1" x14ac:dyDescent="0.3">
      <c r="A7" s="5" t="s">
        <v>12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</row>
    <row r="8" spans="1:7" ht="15.6" customHeight="1" x14ac:dyDescent="0.3">
      <c r="A8" s="5" t="s">
        <v>13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142</v>
      </c>
    </row>
    <row r="9" spans="1:7" ht="15.6" customHeight="1" x14ac:dyDescent="0.3">
      <c r="A9" s="5" t="s">
        <v>14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</row>
    <row r="10" spans="1:7" ht="15.6" customHeight="1" x14ac:dyDescent="0.3">
      <c r="A10" s="5" t="s">
        <v>15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</row>
    <row r="11" spans="1:7" ht="15.6" customHeight="1" x14ac:dyDescent="0.3">
      <c r="A11" s="5" t="s">
        <v>16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</row>
    <row r="12" spans="1:7" ht="15.6" customHeight="1" x14ac:dyDescent="0.3">
      <c r="A12" s="5" t="s">
        <v>17</v>
      </c>
      <c r="B12" t="s">
        <v>142</v>
      </c>
      <c r="C12" t="s">
        <v>142</v>
      </c>
      <c r="D12" t="s">
        <v>142</v>
      </c>
      <c r="E12" t="s">
        <v>142</v>
      </c>
      <c r="F12" t="s">
        <v>142</v>
      </c>
      <c r="G12" t="s">
        <v>142</v>
      </c>
    </row>
    <row r="13" spans="1:7" ht="15.6" customHeight="1" x14ac:dyDescent="0.3">
      <c r="A13" s="5" t="s">
        <v>18</v>
      </c>
      <c r="B13" t="s">
        <v>142</v>
      </c>
      <c r="C13" t="s">
        <v>142</v>
      </c>
      <c r="D13" t="s">
        <v>142</v>
      </c>
      <c r="E13" t="s">
        <v>142</v>
      </c>
      <c r="F13" t="s">
        <v>142</v>
      </c>
      <c r="G13" t="s">
        <v>142</v>
      </c>
    </row>
    <row r="14" spans="1:7" ht="15.6" customHeight="1" x14ac:dyDescent="0.3">
      <c r="A14" s="5" t="s">
        <v>19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</row>
    <row r="15" spans="1:7" ht="15.6" customHeight="1" x14ac:dyDescent="0.3">
      <c r="A15" s="5" t="s">
        <v>20</v>
      </c>
      <c r="B15" t="s">
        <v>142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</row>
    <row r="16" spans="1:7" ht="15.6" customHeight="1" x14ac:dyDescent="0.3">
      <c r="A16" s="5" t="s">
        <v>21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</row>
    <row r="17" spans="1:7" ht="15.6" customHeight="1" x14ac:dyDescent="0.3">
      <c r="A17" s="5" t="s">
        <v>22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</row>
    <row r="18" spans="1:7" ht="15.6" customHeight="1" x14ac:dyDescent="0.3">
      <c r="A18" s="6" t="s">
        <v>23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</row>
    <row r="19" spans="1:7" ht="14.4" customHeight="1" x14ac:dyDescent="0.3">
      <c r="A19" s="4" t="s">
        <v>24</v>
      </c>
    </row>
    <row r="20" spans="1:7" ht="15.6" customHeight="1" x14ac:dyDescent="0.3">
      <c r="A20" s="5" t="s">
        <v>10</v>
      </c>
      <c r="B20">
        <v>295.19396850691845</v>
      </c>
      <c r="C20">
        <v>295.19396850691845</v>
      </c>
      <c r="D20">
        <v>0</v>
      </c>
      <c r="E20">
        <v>0</v>
      </c>
      <c r="F20">
        <v>0</v>
      </c>
      <c r="G20">
        <v>0</v>
      </c>
    </row>
    <row r="21" spans="1:7" ht="15.6" customHeight="1" x14ac:dyDescent="0.3">
      <c r="A21" s="5" t="s">
        <v>11</v>
      </c>
      <c r="B21">
        <v>405.77983784520075</v>
      </c>
      <c r="C21">
        <v>352.84977023542132</v>
      </c>
      <c r="D21">
        <v>15.18503276676349</v>
      </c>
      <c r="E21">
        <v>34.313668039105458</v>
      </c>
      <c r="F21">
        <v>0</v>
      </c>
      <c r="G21">
        <v>3.4313668039105436</v>
      </c>
    </row>
    <row r="22" spans="1:7" ht="15.6" customHeight="1" x14ac:dyDescent="0.3">
      <c r="A22" s="5" t="s">
        <v>12</v>
      </c>
      <c r="B22">
        <v>587.91106221899656</v>
      </c>
      <c r="C22">
        <v>442.55261043141491</v>
      </c>
      <c r="D22">
        <v>15.18503276676349</v>
      </c>
      <c r="E22">
        <v>118.55261043141134</v>
      </c>
      <c r="F22">
        <v>0</v>
      </c>
      <c r="G22">
        <v>11.620808589406948</v>
      </c>
    </row>
    <row r="23" spans="1:7" ht="15.6" customHeight="1" x14ac:dyDescent="0.3">
      <c r="A23" s="5" t="s">
        <v>13</v>
      </c>
      <c r="B23">
        <v>300.81722010008224</v>
      </c>
      <c r="C23">
        <v>300.81722010008224</v>
      </c>
      <c r="D23">
        <v>0</v>
      </c>
      <c r="E23">
        <v>0</v>
      </c>
      <c r="F23">
        <v>0</v>
      </c>
      <c r="G23">
        <v>0</v>
      </c>
    </row>
    <row r="24" spans="1:7" ht="15.6" customHeight="1" x14ac:dyDescent="0.3">
      <c r="A24" s="5" t="s">
        <v>14</v>
      </c>
      <c r="B24">
        <v>345.09952757477123</v>
      </c>
      <c r="C24">
        <v>345.09952757477123</v>
      </c>
      <c r="D24">
        <v>0</v>
      </c>
      <c r="E24">
        <v>0</v>
      </c>
      <c r="F24">
        <v>0</v>
      </c>
      <c r="G24">
        <v>0</v>
      </c>
    </row>
    <row r="25" spans="1:7" ht="15.6" customHeight="1" x14ac:dyDescent="0.3">
      <c r="A25" s="5" t="s">
        <v>15</v>
      </c>
      <c r="B25">
        <v>572.73326863296586</v>
      </c>
      <c r="C25">
        <v>517.14071049276151</v>
      </c>
      <c r="D25">
        <v>17.992577011948917</v>
      </c>
      <c r="E25">
        <v>35.308670027573989</v>
      </c>
      <c r="F25">
        <v>0</v>
      </c>
      <c r="G25">
        <v>2.2913111006814648</v>
      </c>
    </row>
    <row r="26" spans="1:7" ht="15.6" customHeight="1" x14ac:dyDescent="0.3">
      <c r="A26" s="5" t="s">
        <v>16</v>
      </c>
      <c r="B26">
        <v>763.04314108259041</v>
      </c>
      <c r="C26">
        <v>606.38178335995474</v>
      </c>
      <c r="D26">
        <v>25.892755420057131</v>
      </c>
      <c r="E26">
        <v>120.38178335995325</v>
      </c>
      <c r="F26">
        <v>0</v>
      </c>
      <c r="G26">
        <v>10.386818942625354</v>
      </c>
    </row>
    <row r="27" spans="1:7" ht="15.6" customHeight="1" x14ac:dyDescent="0.3">
      <c r="A27" s="5" t="s">
        <v>17</v>
      </c>
      <c r="B27">
        <v>285.9871658305542</v>
      </c>
      <c r="C27">
        <v>285.9871658305542</v>
      </c>
      <c r="D27">
        <v>0</v>
      </c>
      <c r="E27">
        <v>0</v>
      </c>
      <c r="F27">
        <v>0</v>
      </c>
      <c r="G27">
        <v>0</v>
      </c>
    </row>
    <row r="28" spans="1:7" ht="15.6" customHeight="1" x14ac:dyDescent="0.3">
      <c r="A28" s="5" t="s">
        <v>18</v>
      </c>
      <c r="B28">
        <v>378.68476281332022</v>
      </c>
      <c r="C28">
        <v>378.68476281332022</v>
      </c>
      <c r="D28">
        <v>0</v>
      </c>
      <c r="E28">
        <v>0</v>
      </c>
      <c r="F28">
        <v>0</v>
      </c>
      <c r="G28">
        <v>0</v>
      </c>
    </row>
    <row r="29" spans="1:7" ht="15.6" customHeight="1" x14ac:dyDescent="0.3">
      <c r="A29" s="5" t="s">
        <v>19</v>
      </c>
      <c r="B29">
        <v>496.14561623160495</v>
      </c>
      <c r="C29">
        <v>496.14561623160495</v>
      </c>
      <c r="D29">
        <v>0</v>
      </c>
      <c r="E29">
        <v>0</v>
      </c>
      <c r="F29">
        <v>0</v>
      </c>
      <c r="G29">
        <v>0</v>
      </c>
    </row>
    <row r="30" spans="1:7" ht="15.6" customHeight="1" x14ac:dyDescent="0.3">
      <c r="A30" s="5" t="s">
        <v>20</v>
      </c>
      <c r="B30">
        <v>587.96320333483038</v>
      </c>
      <c r="C30">
        <v>587.96320333483038</v>
      </c>
      <c r="D30">
        <v>0</v>
      </c>
      <c r="E30">
        <v>0</v>
      </c>
      <c r="F30">
        <v>0</v>
      </c>
      <c r="G30">
        <v>0</v>
      </c>
    </row>
    <row r="31" spans="1:7" ht="15.6" customHeight="1" x14ac:dyDescent="0.3">
      <c r="A31" s="5" t="s">
        <v>21</v>
      </c>
      <c r="B31">
        <v>778.80313927738769</v>
      </c>
      <c r="C31">
        <v>698.57895854006802</v>
      </c>
      <c r="D31">
        <v>20.357723880973634</v>
      </c>
      <c r="E31">
        <v>52.896640195537309</v>
      </c>
      <c r="F31">
        <v>0</v>
      </c>
      <c r="G31">
        <v>6.9698166608086849</v>
      </c>
    </row>
    <row r="32" spans="1:7" ht="15.6" customHeight="1" x14ac:dyDescent="0.3">
      <c r="A32" s="5" t="s">
        <v>22</v>
      </c>
      <c r="B32">
        <v>518.14683649260235</v>
      </c>
      <c r="C32">
        <v>518.14683649260235</v>
      </c>
      <c r="D32">
        <v>0</v>
      </c>
      <c r="E32">
        <v>0</v>
      </c>
      <c r="F32">
        <v>0</v>
      </c>
      <c r="G32">
        <v>0</v>
      </c>
    </row>
    <row r="33" spans="1:7" ht="15.6" customHeight="1" x14ac:dyDescent="0.3">
      <c r="A33" s="6" t="s">
        <v>23</v>
      </c>
      <c r="B33">
        <v>710.41056632651123</v>
      </c>
      <c r="C33">
        <v>710.41056632651123</v>
      </c>
      <c r="D33">
        <v>0</v>
      </c>
      <c r="E33">
        <v>0</v>
      </c>
      <c r="F33">
        <v>0</v>
      </c>
      <c r="G33">
        <v>0</v>
      </c>
    </row>
    <row r="34" spans="1:7" ht="14.4" customHeight="1" x14ac:dyDescent="0.3">
      <c r="A34" s="4" t="s">
        <v>25</v>
      </c>
    </row>
    <row r="35" spans="1:7" ht="15.6" customHeight="1" x14ac:dyDescent="0.3">
      <c r="A35" s="5" t="s">
        <v>10</v>
      </c>
      <c r="B35">
        <v>470.95318134914214</v>
      </c>
      <c r="C35">
        <v>302.23483559913194</v>
      </c>
      <c r="D35">
        <v>15.18503276676349</v>
      </c>
      <c r="E35">
        <v>140.2348355991316</v>
      </c>
      <c r="F35">
        <v>0</v>
      </c>
      <c r="G35">
        <v>13.298477384115088</v>
      </c>
    </row>
    <row r="36" spans="1:7" ht="15.6" customHeight="1" x14ac:dyDescent="0.3">
      <c r="A36" s="5" t="s">
        <v>11</v>
      </c>
      <c r="B36">
        <v>627.58661410692287</v>
      </c>
      <c r="C36">
        <v>364.18453626549598</v>
      </c>
      <c r="D36">
        <v>33.430593403291994</v>
      </c>
      <c r="E36">
        <v>202.18453626549561</v>
      </c>
      <c r="F36">
        <v>0</v>
      </c>
      <c r="G36">
        <v>27.786948172639267</v>
      </c>
    </row>
    <row r="37" spans="1:7" ht="15.6" customHeight="1" x14ac:dyDescent="0.3">
      <c r="A37" s="5" t="s">
        <v>12</v>
      </c>
      <c r="B37">
        <v>795.72301033291785</v>
      </c>
      <c r="C37">
        <v>447.96167418109536</v>
      </c>
      <c r="D37">
        <v>33.701106043705877</v>
      </c>
      <c r="E37">
        <v>285.96167418109428</v>
      </c>
      <c r="F37">
        <v>0</v>
      </c>
      <c r="G37">
        <v>28.098555927022357</v>
      </c>
    </row>
    <row r="38" spans="1:7" ht="15.6" customHeight="1" x14ac:dyDescent="0.3">
      <c r="A38" s="5" t="s">
        <v>13</v>
      </c>
      <c r="B38">
        <v>399.14330594613148</v>
      </c>
      <c r="C38">
        <v>308.08865337892831</v>
      </c>
      <c r="D38">
        <v>19.39634913454163</v>
      </c>
      <c r="E38">
        <v>67.647790552562071</v>
      </c>
      <c r="F38">
        <v>0</v>
      </c>
      <c r="G38">
        <v>4.0105128800994576</v>
      </c>
    </row>
    <row r="39" spans="1:7" ht="15.6" customHeight="1" x14ac:dyDescent="0.3">
      <c r="A39" s="5" t="s">
        <v>14</v>
      </c>
      <c r="B39">
        <v>514.14711959944714</v>
      </c>
      <c r="C39">
        <v>366.4067488860648</v>
      </c>
      <c r="D39">
        <v>15.18503276676349</v>
      </c>
      <c r="E39">
        <v>123.54178036291118</v>
      </c>
      <c r="F39">
        <v>0</v>
      </c>
      <c r="G39">
        <v>9.0135575837076747</v>
      </c>
    </row>
    <row r="40" spans="1:7" ht="15.6" customHeight="1" x14ac:dyDescent="0.3">
      <c r="A40" s="5" t="s">
        <v>15</v>
      </c>
      <c r="B40">
        <v>870.42446882402817</v>
      </c>
      <c r="C40">
        <v>524.09113656548652</v>
      </c>
      <c r="D40">
        <v>35.429260026166631</v>
      </c>
      <c r="E40">
        <v>281.09113656548385</v>
      </c>
      <c r="F40">
        <v>0</v>
      </c>
      <c r="G40">
        <v>29.812935666891253</v>
      </c>
    </row>
    <row r="41" spans="1:7" ht="15.6" customHeight="1" x14ac:dyDescent="0.3">
      <c r="A41" s="5" t="s">
        <v>16</v>
      </c>
      <c r="B41">
        <v>1039.3079995364112</v>
      </c>
      <c r="C41">
        <v>621.9488383409672</v>
      </c>
      <c r="D41">
        <v>15.18503276676349</v>
      </c>
      <c r="E41">
        <v>378.94883834095566</v>
      </c>
      <c r="F41">
        <v>0</v>
      </c>
      <c r="G41">
        <v>23.225290087724897</v>
      </c>
    </row>
    <row r="42" spans="1:7" ht="15.6" customHeight="1" x14ac:dyDescent="0.3">
      <c r="A42" s="5" t="s">
        <v>17</v>
      </c>
      <c r="B42">
        <v>290.20459295136777</v>
      </c>
      <c r="C42">
        <v>290.20459295136777</v>
      </c>
      <c r="D42">
        <v>0</v>
      </c>
      <c r="E42">
        <v>0</v>
      </c>
      <c r="F42">
        <v>0</v>
      </c>
      <c r="G42">
        <v>0</v>
      </c>
    </row>
    <row r="43" spans="1:7" ht="15.6" customHeight="1" x14ac:dyDescent="0.3">
      <c r="A43" s="5" t="s">
        <v>18</v>
      </c>
      <c r="B43">
        <v>503.04187444360383</v>
      </c>
      <c r="C43">
        <v>394.45932024138364</v>
      </c>
      <c r="D43">
        <v>20.357723880973634</v>
      </c>
      <c r="E43">
        <v>76.407479514174781</v>
      </c>
      <c r="F43">
        <v>0</v>
      </c>
      <c r="G43">
        <v>11.817350807071856</v>
      </c>
    </row>
    <row r="44" spans="1:7" ht="15.6" customHeight="1" x14ac:dyDescent="0.3">
      <c r="A44" s="5" t="s">
        <v>19</v>
      </c>
      <c r="B44">
        <v>733.14183085297179</v>
      </c>
      <c r="C44">
        <v>504.30772006656611</v>
      </c>
      <c r="D44">
        <v>28.747841397408752</v>
      </c>
      <c r="E44">
        <v>180.30772006656221</v>
      </c>
      <c r="F44">
        <v>0</v>
      </c>
      <c r="G44">
        <v>19.778549322434653</v>
      </c>
    </row>
    <row r="45" spans="1:7" ht="15.6" customHeight="1" x14ac:dyDescent="0.3">
      <c r="A45" s="5" t="s">
        <v>20</v>
      </c>
      <c r="B45">
        <v>943.329148159802</v>
      </c>
      <c r="C45">
        <v>597.85451792359015</v>
      </c>
      <c r="D45">
        <v>41.684442590803449</v>
      </c>
      <c r="E45">
        <v>273.85451792358674</v>
      </c>
      <c r="F45">
        <v>0</v>
      </c>
      <c r="G45">
        <v>29.935669721821721</v>
      </c>
    </row>
    <row r="46" spans="1:7" ht="15.6" customHeight="1" x14ac:dyDescent="0.3">
      <c r="A46" s="5" t="s">
        <v>21</v>
      </c>
      <c r="B46">
        <v>1246.4317763971374</v>
      </c>
      <c r="C46">
        <v>743.81029261437504</v>
      </c>
      <c r="D46">
        <v>38.604502936227284</v>
      </c>
      <c r="E46">
        <v>419.81029261437334</v>
      </c>
      <c r="F46">
        <v>0</v>
      </c>
      <c r="G46">
        <v>44.206688232161873</v>
      </c>
    </row>
    <row r="47" spans="1:7" ht="15.6" customHeight="1" x14ac:dyDescent="0.3">
      <c r="A47" s="5" t="s">
        <v>22</v>
      </c>
      <c r="B47">
        <v>729.67217724969726</v>
      </c>
      <c r="C47">
        <v>541.02294197188735</v>
      </c>
      <c r="D47">
        <v>39.198179017784057</v>
      </c>
      <c r="E47">
        <v>138.07865481106691</v>
      </c>
      <c r="F47">
        <v>0</v>
      </c>
      <c r="G47">
        <v>11.372401448959026</v>
      </c>
    </row>
    <row r="48" spans="1:7" ht="15.6" customHeight="1" x14ac:dyDescent="0.3">
      <c r="A48" s="6" t="s">
        <v>23</v>
      </c>
      <c r="B48">
        <v>1267.5280474826166</v>
      </c>
      <c r="C48">
        <v>787.52419131482554</v>
      </c>
      <c r="D48">
        <v>60.758221911298598</v>
      </c>
      <c r="E48">
        <v>382.52419131482293</v>
      </c>
      <c r="F48">
        <v>0</v>
      </c>
      <c r="G48">
        <v>36.721442941669444</v>
      </c>
    </row>
    <row r="49" spans="1:7" ht="13.2" x14ac:dyDescent="0.25">
      <c r="A49" t="s">
        <v>144</v>
      </c>
    </row>
    <row r="50" spans="1:7" ht="13.2" x14ac:dyDescent="0.25">
      <c r="A50" t="s">
        <v>145</v>
      </c>
    </row>
    <row r="52" spans="1:7" ht="13.2" x14ac:dyDescent="0.25">
      <c r="A52" t="s">
        <v>146</v>
      </c>
    </row>
    <row r="53" spans="1:7" ht="13.2" x14ac:dyDescent="0.25">
      <c r="A53" t="s">
        <v>147</v>
      </c>
      <c r="B53" t="s">
        <v>148</v>
      </c>
      <c r="C53" t="s">
        <v>155</v>
      </c>
      <c r="D53" t="s">
        <v>156</v>
      </c>
      <c r="E53" t="s">
        <v>157</v>
      </c>
      <c r="F53" t="s">
        <v>158</v>
      </c>
      <c r="G53" t="s">
        <v>159</v>
      </c>
    </row>
    <row r="54" spans="1:7" ht="13.2" x14ac:dyDescent="0.25">
      <c r="A54" t="s">
        <v>151</v>
      </c>
      <c r="B54">
        <f t="shared" ref="B54:G54" si="0">IF(COUNT(B20,B21,B22,B23,B24,B25,B26,B27,B28,B29,B30,B31,B32,B33)=14,AVERAGE(B20,B21,B22,B23,B24,B25,B26,B27,B28,B29,B30,B31,B32,B33),"NA")</f>
        <v>501.90852259059545</v>
      </c>
      <c r="C54">
        <f t="shared" si="0"/>
        <v>466.85376430505823</v>
      </c>
      <c r="D54">
        <f t="shared" si="0"/>
        <v>6.7580801318933323</v>
      </c>
      <c r="E54">
        <f t="shared" si="0"/>
        <v>25.818098003827238</v>
      </c>
      <c r="F54">
        <f t="shared" si="0"/>
        <v>0</v>
      </c>
      <c r="G54">
        <f t="shared" si="0"/>
        <v>2.4785801498166427</v>
      </c>
    </row>
    <row r="55" spans="1:7" ht="13.2" x14ac:dyDescent="0.25">
      <c r="A55" t="s">
        <v>152</v>
      </c>
      <c r="B55">
        <f t="shared" ref="B55:G55" si="1">IF(COUNT(B35,B36,B37,B38,B39,B40,B41,B42,B43,B44,B45,B46,B47,B48)=14,AVERAGE(B35,B36,B37,B38,B39,B40,B41,B42,B43,B44,B45,B46,B47,B48),"NA")</f>
        <v>745.0453676594426</v>
      </c>
      <c r="C55">
        <f t="shared" si="1"/>
        <v>485.29285716436885</v>
      </c>
      <c r="D55">
        <f t="shared" si="1"/>
        <v>28.347379903035172</v>
      </c>
      <c r="E55">
        <f t="shared" si="1"/>
        <v>210.75667486515866</v>
      </c>
      <c r="F55">
        <f t="shared" si="1"/>
        <v>0</v>
      </c>
      <c r="G55">
        <f t="shared" si="1"/>
        <v>20.648455726879895</v>
      </c>
    </row>
    <row r="56" spans="1:7" ht="13.2" x14ac:dyDescent="0.25">
      <c r="A56" t="s">
        <v>153</v>
      </c>
      <c r="B56">
        <f t="shared" ref="B56:G56" si="2">IF(COUNT(B20,B21,B22,B23,B24,B25,B26,B27,B28,B29,B30,B31,B32,B33,B35,B36,B37,B38,B39,B40,B41,B42,B43,B44,B45,B46,B47,B48)=28,AVERAGE(B20,B21,B22,B23,B24,B25,B26,B27,B28,B29,B30,B31,B32,B33,B35,B36,B37,B38,B39,B40,B41,B42,B43,B44,B45,B46,B47,B48),"NA")</f>
        <v>623.47694512501926</v>
      </c>
      <c r="C56">
        <f t="shared" si="2"/>
        <v>476.07331073471363</v>
      </c>
      <c r="D56">
        <f t="shared" si="2"/>
        <v>17.552730017464249</v>
      </c>
      <c r="E56">
        <f t="shared" si="2"/>
        <v>118.28738643449294</v>
      </c>
      <c r="F56">
        <f t="shared" si="2"/>
        <v>0</v>
      </c>
      <c r="G56">
        <f t="shared" si="2"/>
        <v>11.563517938348269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tabSelected="1" zoomScaleNormal="100" workbookViewId="0">
      <selection activeCell="C18" sqref="C18"/>
    </sheetView>
  </sheetViews>
  <sheetFormatPr defaultColWidth="9.77734375" defaultRowHeight="13.2" x14ac:dyDescent="0.25"/>
  <cols>
    <col min="12" max="12" width="12.21875" customWidth="1"/>
    <col min="13" max="13" width="13" customWidth="1"/>
  </cols>
  <sheetData>
    <row r="1" spans="1:13" ht="14.4" customHeight="1" x14ac:dyDescent="0.25">
      <c r="A1" t="s">
        <v>160</v>
      </c>
    </row>
    <row r="3" spans="1:13" ht="46.2" customHeight="1" x14ac:dyDescent="0.3">
      <c r="A3" s="3" t="s">
        <v>2</v>
      </c>
      <c r="B3" s="7" t="s">
        <v>32</v>
      </c>
      <c r="C3" s="7" t="s">
        <v>33</v>
      </c>
      <c r="D3" s="7" t="s">
        <v>173</v>
      </c>
      <c r="E3" s="7" t="s">
        <v>171</v>
      </c>
      <c r="F3" s="7" t="s">
        <v>34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41</v>
      </c>
    </row>
    <row r="4" spans="1:13" ht="14.4" customHeight="1" x14ac:dyDescent="0.3">
      <c r="A4" s="4" t="s">
        <v>9</v>
      </c>
    </row>
    <row r="5" spans="1:13" ht="15.6" customHeight="1" x14ac:dyDescent="0.3">
      <c r="A5" s="5" t="s">
        <v>10</v>
      </c>
      <c r="B5" t="s">
        <v>142</v>
      </c>
      <c r="C5" t="s">
        <v>142</v>
      </c>
      <c r="D5" t="s">
        <v>142</v>
      </c>
      <c r="E5" t="s">
        <v>142</v>
      </c>
      <c r="F5" t="s">
        <v>142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</row>
    <row r="6" spans="1:13" ht="15.6" customHeight="1" x14ac:dyDescent="0.3">
      <c r="A6" s="5" t="s">
        <v>11</v>
      </c>
      <c r="B6" t="s">
        <v>142</v>
      </c>
      <c r="C6" t="s">
        <v>142</v>
      </c>
      <c r="D6" t="s">
        <v>142</v>
      </c>
      <c r="E6" t="s">
        <v>142</v>
      </c>
      <c r="F6" t="s">
        <v>142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</row>
    <row r="7" spans="1:13" ht="15.6" customHeight="1" x14ac:dyDescent="0.3">
      <c r="A7" s="5" t="s">
        <v>12</v>
      </c>
      <c r="B7" t="s">
        <v>142</v>
      </c>
      <c r="C7" t="s">
        <v>142</v>
      </c>
      <c r="D7" t="s">
        <v>142</v>
      </c>
      <c r="E7" t="s">
        <v>142</v>
      </c>
      <c r="F7" t="s">
        <v>142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</row>
    <row r="8" spans="1:13" ht="15.6" customHeight="1" x14ac:dyDescent="0.3">
      <c r="A8" s="5" t="s">
        <v>13</v>
      </c>
      <c r="B8" t="s">
        <v>142</v>
      </c>
      <c r="C8" t="s">
        <v>142</v>
      </c>
      <c r="D8" t="s">
        <v>142</v>
      </c>
      <c r="E8" t="s">
        <v>142</v>
      </c>
      <c r="F8" t="s">
        <v>142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142</v>
      </c>
    </row>
    <row r="9" spans="1:13" ht="15.6" customHeight="1" x14ac:dyDescent="0.3">
      <c r="A9" s="5" t="s">
        <v>14</v>
      </c>
      <c r="B9" t="s">
        <v>142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142</v>
      </c>
    </row>
    <row r="10" spans="1:13" ht="15.6" customHeight="1" x14ac:dyDescent="0.3">
      <c r="A10" s="5" t="s">
        <v>15</v>
      </c>
      <c r="B10" t="s">
        <v>142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142</v>
      </c>
    </row>
    <row r="11" spans="1:13" ht="15.6" customHeight="1" x14ac:dyDescent="0.3">
      <c r="A11" s="5" t="s">
        <v>16</v>
      </c>
      <c r="B11" t="s">
        <v>142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142</v>
      </c>
    </row>
    <row r="12" spans="1:13" ht="15.6" customHeight="1" x14ac:dyDescent="0.3">
      <c r="A12" s="5" t="s">
        <v>17</v>
      </c>
      <c r="B12" t="s">
        <v>142</v>
      </c>
      <c r="C12" t="s">
        <v>142</v>
      </c>
      <c r="D12" t="s">
        <v>142</v>
      </c>
      <c r="E12" t="s">
        <v>142</v>
      </c>
      <c r="F12" t="s">
        <v>142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142</v>
      </c>
    </row>
    <row r="13" spans="1:13" ht="15.6" customHeight="1" x14ac:dyDescent="0.3">
      <c r="A13" s="5" t="s">
        <v>18</v>
      </c>
      <c r="B13" t="s">
        <v>142</v>
      </c>
      <c r="C13" t="s">
        <v>142</v>
      </c>
      <c r="D13" t="s">
        <v>142</v>
      </c>
      <c r="E13" t="s">
        <v>142</v>
      </c>
      <c r="F13" t="s">
        <v>142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142</v>
      </c>
    </row>
    <row r="14" spans="1:13" ht="15.6" customHeight="1" x14ac:dyDescent="0.3">
      <c r="A14" s="5" t="s">
        <v>19</v>
      </c>
      <c r="B14" t="s">
        <v>142</v>
      </c>
      <c r="C14" t="s">
        <v>142</v>
      </c>
      <c r="D14" t="s">
        <v>142</v>
      </c>
      <c r="E14" t="s">
        <v>142</v>
      </c>
      <c r="F14" t="s">
        <v>142</v>
      </c>
      <c r="G14" t="s">
        <v>142</v>
      </c>
      <c r="H14" t="s">
        <v>142</v>
      </c>
      <c r="I14" t="s">
        <v>142</v>
      </c>
      <c r="J14" t="s">
        <v>142</v>
      </c>
      <c r="K14" t="s">
        <v>142</v>
      </c>
      <c r="L14" t="s">
        <v>142</v>
      </c>
      <c r="M14" t="s">
        <v>142</v>
      </c>
    </row>
    <row r="15" spans="1:13" ht="15.6" customHeight="1" x14ac:dyDescent="0.3">
      <c r="A15" s="5" t="s">
        <v>20</v>
      </c>
      <c r="B15" t="s">
        <v>142</v>
      </c>
      <c r="C15" t="s">
        <v>142</v>
      </c>
      <c r="D15" t="s">
        <v>142</v>
      </c>
      <c r="E15" t="s">
        <v>142</v>
      </c>
      <c r="F15" t="s">
        <v>142</v>
      </c>
      <c r="G15" t="s">
        <v>142</v>
      </c>
      <c r="H15" t="s">
        <v>142</v>
      </c>
      <c r="I15" t="s">
        <v>142</v>
      </c>
      <c r="J15" t="s">
        <v>142</v>
      </c>
      <c r="K15" t="s">
        <v>142</v>
      </c>
      <c r="L15" t="s">
        <v>142</v>
      </c>
      <c r="M15" t="s">
        <v>142</v>
      </c>
    </row>
    <row r="16" spans="1:13" ht="15.6" customHeight="1" x14ac:dyDescent="0.3">
      <c r="A16" s="5" t="s">
        <v>21</v>
      </c>
      <c r="B16" t="s">
        <v>142</v>
      </c>
      <c r="C16" t="s">
        <v>142</v>
      </c>
      <c r="D16" t="s">
        <v>142</v>
      </c>
      <c r="E16" t="s">
        <v>142</v>
      </c>
      <c r="F16" t="s">
        <v>142</v>
      </c>
      <c r="G16" t="s">
        <v>142</v>
      </c>
      <c r="H16" t="s">
        <v>142</v>
      </c>
      <c r="I16" t="s">
        <v>142</v>
      </c>
      <c r="J16" t="s">
        <v>142</v>
      </c>
      <c r="K16" t="s">
        <v>142</v>
      </c>
      <c r="L16" t="s">
        <v>142</v>
      </c>
      <c r="M16" t="s">
        <v>142</v>
      </c>
    </row>
    <row r="17" spans="1:13" ht="15.6" customHeight="1" x14ac:dyDescent="0.3">
      <c r="A17" s="5" t="s">
        <v>22</v>
      </c>
      <c r="B17" t="s">
        <v>142</v>
      </c>
      <c r="C17" t="s">
        <v>142</v>
      </c>
      <c r="D17" t="s">
        <v>142</v>
      </c>
      <c r="E17" t="s">
        <v>142</v>
      </c>
      <c r="F17" t="s">
        <v>142</v>
      </c>
      <c r="G17" t="s">
        <v>142</v>
      </c>
      <c r="H17" t="s">
        <v>142</v>
      </c>
      <c r="I17" t="s">
        <v>142</v>
      </c>
      <c r="J17" t="s">
        <v>142</v>
      </c>
      <c r="K17" t="s">
        <v>142</v>
      </c>
      <c r="L17" t="s">
        <v>142</v>
      </c>
      <c r="M17" t="s">
        <v>142</v>
      </c>
    </row>
    <row r="18" spans="1:13" ht="15.6" customHeight="1" x14ac:dyDescent="0.3">
      <c r="A18" s="6" t="s">
        <v>23</v>
      </c>
      <c r="B18" t="s">
        <v>142</v>
      </c>
      <c r="C18" t="s">
        <v>142</v>
      </c>
      <c r="D18" t="s">
        <v>142</v>
      </c>
      <c r="E18" t="s">
        <v>142</v>
      </c>
      <c r="F18" t="s">
        <v>142</v>
      </c>
      <c r="G18" t="s">
        <v>142</v>
      </c>
      <c r="H18" t="s">
        <v>142</v>
      </c>
      <c r="I18" t="s">
        <v>142</v>
      </c>
      <c r="J18" t="s">
        <v>142</v>
      </c>
      <c r="K18" t="s">
        <v>142</v>
      </c>
      <c r="L18" t="s">
        <v>142</v>
      </c>
      <c r="M18" t="s">
        <v>142</v>
      </c>
    </row>
    <row r="19" spans="1:13" ht="14.4" customHeight="1" x14ac:dyDescent="0.3">
      <c r="A19" s="4" t="s">
        <v>24</v>
      </c>
    </row>
    <row r="20" spans="1:13" ht="15.6" customHeight="1" x14ac:dyDescent="0.3">
      <c r="A20" s="5" t="s">
        <v>10</v>
      </c>
      <c r="B20">
        <v>314.71310510556566</v>
      </c>
      <c r="C20">
        <v>295.19396850691845</v>
      </c>
      <c r="D20">
        <v>3.2203333377838135</v>
      </c>
      <c r="E20">
        <v>5.666333357493083</v>
      </c>
      <c r="F20">
        <v>413.33333333333331</v>
      </c>
      <c r="G20">
        <v>1</v>
      </c>
      <c r="H20">
        <v>125.66666666666667</v>
      </c>
      <c r="I20">
        <v>286.05533281962079</v>
      </c>
      <c r="J20">
        <v>20.666666666666668</v>
      </c>
      <c r="K20">
        <v>2.7333577473958332E-2</v>
      </c>
      <c r="L20">
        <v>0</v>
      </c>
      <c r="M20">
        <v>0</v>
      </c>
    </row>
    <row r="21" spans="1:13" ht="15.6" customHeight="1" x14ac:dyDescent="0.3">
      <c r="A21" s="5" t="s">
        <v>11</v>
      </c>
      <c r="B21">
        <v>424.00347515099821</v>
      </c>
      <c r="C21">
        <v>405.77983784520075</v>
      </c>
      <c r="D21">
        <v>0.6380000114440918</v>
      </c>
      <c r="E21">
        <v>4.2926666736602783</v>
      </c>
      <c r="F21">
        <v>493.33333333333331</v>
      </c>
      <c r="G21">
        <v>1</v>
      </c>
      <c r="H21">
        <v>151</v>
      </c>
      <c r="I21">
        <v>271.62333353360492</v>
      </c>
      <c r="J21">
        <v>36.333333333333336</v>
      </c>
      <c r="K21">
        <v>4.9333413441975914E-2</v>
      </c>
      <c r="L21">
        <v>0</v>
      </c>
      <c r="M21">
        <v>0</v>
      </c>
    </row>
    <row r="22" spans="1:13" ht="15.6" customHeight="1" x14ac:dyDescent="0.3">
      <c r="A22" s="5" t="s">
        <v>12</v>
      </c>
      <c r="B22">
        <v>601.85654960561726</v>
      </c>
      <c r="C22">
        <v>587.91106221899656</v>
      </c>
      <c r="D22">
        <v>1.8019999663035076</v>
      </c>
      <c r="E22">
        <v>28.480666557947796</v>
      </c>
      <c r="F22">
        <v>484.66666666666669</v>
      </c>
      <c r="G22">
        <v>1</v>
      </c>
      <c r="H22">
        <v>152.33333333333334</v>
      </c>
      <c r="I22">
        <v>263.07700045903522</v>
      </c>
      <c r="J22">
        <v>28.666666666666668</v>
      </c>
      <c r="K22">
        <v>4.0999809900919594E-2</v>
      </c>
      <c r="L22">
        <v>0</v>
      </c>
      <c r="M22">
        <v>0.33333333333333331</v>
      </c>
    </row>
    <row r="23" spans="1:13" ht="15.6" customHeight="1" x14ac:dyDescent="0.3">
      <c r="A23" s="5" t="s">
        <v>13</v>
      </c>
      <c r="B23">
        <v>315.24466609387196</v>
      </c>
      <c r="C23">
        <v>300.81722010008224</v>
      </c>
      <c r="D23">
        <v>7.5666666030883789E-2</v>
      </c>
      <c r="E23">
        <v>0.66599996884663903</v>
      </c>
      <c r="F23">
        <v>584</v>
      </c>
      <c r="G23">
        <v>1</v>
      </c>
      <c r="H23">
        <v>155</v>
      </c>
      <c r="I23">
        <v>293.41166766484577</v>
      </c>
      <c r="J23">
        <v>62</v>
      </c>
      <c r="K23">
        <v>5.7999849319458008E-2</v>
      </c>
      <c r="L23">
        <v>0</v>
      </c>
      <c r="M23">
        <v>0</v>
      </c>
    </row>
    <row r="24" spans="1:13" ht="15.6" customHeight="1" x14ac:dyDescent="0.3">
      <c r="A24" s="5" t="s">
        <v>14</v>
      </c>
      <c r="B24">
        <v>366.12996731191606</v>
      </c>
      <c r="C24">
        <v>345.09952757477123</v>
      </c>
      <c r="D24">
        <v>0.11966665585835774</v>
      </c>
      <c r="E24">
        <v>2.628000020980835</v>
      </c>
      <c r="F24">
        <v>541</v>
      </c>
      <c r="G24">
        <v>1</v>
      </c>
      <c r="H24">
        <v>111</v>
      </c>
      <c r="I24">
        <v>291.62199934323627</v>
      </c>
      <c r="J24">
        <v>62.666666666666664</v>
      </c>
      <c r="K24">
        <v>6.8333466847737626E-2</v>
      </c>
      <c r="L24">
        <v>0</v>
      </c>
      <c r="M24">
        <v>0</v>
      </c>
    </row>
    <row r="25" spans="1:13" ht="15.6" customHeight="1" x14ac:dyDescent="0.3">
      <c r="A25" s="5" t="s">
        <v>15</v>
      </c>
      <c r="B25">
        <v>600.03916734354254</v>
      </c>
      <c r="C25">
        <v>572.73326863296586</v>
      </c>
      <c r="D25">
        <v>1.9179999828338623</v>
      </c>
      <c r="E25">
        <v>18.261666615804035</v>
      </c>
      <c r="F25">
        <v>575</v>
      </c>
      <c r="G25">
        <v>1</v>
      </c>
      <c r="H25">
        <v>131</v>
      </c>
      <c r="I25">
        <v>269.59766666094464</v>
      </c>
      <c r="J25">
        <v>66.333333333333329</v>
      </c>
      <c r="K25">
        <v>0.13066657384236655</v>
      </c>
      <c r="L25">
        <v>0</v>
      </c>
      <c r="M25">
        <v>0.33333333333333331</v>
      </c>
    </row>
    <row r="26" spans="1:13" ht="15.6" customHeight="1" x14ac:dyDescent="0.3">
      <c r="A26" s="5" t="s">
        <v>16</v>
      </c>
      <c r="B26">
        <v>782.72307061024912</v>
      </c>
      <c r="C26">
        <v>763.04314108259041</v>
      </c>
      <c r="D26">
        <v>4.2156666914621992</v>
      </c>
      <c r="E26">
        <v>55.102333307266235</v>
      </c>
      <c r="F26">
        <v>565</v>
      </c>
      <c r="G26">
        <v>1</v>
      </c>
      <c r="H26">
        <v>158.66666666666666</v>
      </c>
      <c r="I26">
        <v>236.65033340454102</v>
      </c>
      <c r="J26">
        <v>48.666666666666664</v>
      </c>
      <c r="K26">
        <v>0.10666632652282715</v>
      </c>
      <c r="L26">
        <v>0</v>
      </c>
      <c r="M26">
        <v>0.33333333333333331</v>
      </c>
    </row>
    <row r="27" spans="1:13" ht="15.6" customHeight="1" x14ac:dyDescent="0.3">
      <c r="A27" s="5" t="s">
        <v>17</v>
      </c>
      <c r="B27">
        <v>292.64293845705384</v>
      </c>
      <c r="C27">
        <v>285.9871658305542</v>
      </c>
      <c r="D27">
        <v>8.3000024159749344E-2</v>
      </c>
      <c r="E27">
        <v>1.312666654586792</v>
      </c>
      <c r="F27">
        <v>304</v>
      </c>
      <c r="G27">
        <v>1</v>
      </c>
      <c r="H27">
        <v>39</v>
      </c>
      <c r="I27">
        <v>296.85200047492981</v>
      </c>
      <c r="J27">
        <v>49.333333333333336</v>
      </c>
      <c r="K27">
        <v>4.833261171976725E-2</v>
      </c>
      <c r="L27">
        <v>0</v>
      </c>
      <c r="M27">
        <v>0</v>
      </c>
    </row>
    <row r="28" spans="1:13" ht="15.6" customHeight="1" x14ac:dyDescent="0.3">
      <c r="A28" s="5" t="s">
        <v>18</v>
      </c>
      <c r="B28">
        <v>400.57661743302629</v>
      </c>
      <c r="C28">
        <v>378.68476281332022</v>
      </c>
      <c r="D28">
        <v>0.11133321126302083</v>
      </c>
      <c r="E28">
        <v>3.119666576385498</v>
      </c>
      <c r="F28">
        <v>808</v>
      </c>
      <c r="G28">
        <v>1</v>
      </c>
      <c r="H28">
        <v>141.66666666666666</v>
      </c>
      <c r="I28">
        <v>291.28266684214276</v>
      </c>
      <c r="J28">
        <v>95.666666666666671</v>
      </c>
      <c r="K28">
        <v>0.10366654396057129</v>
      </c>
      <c r="L28">
        <v>0</v>
      </c>
      <c r="M28">
        <v>0</v>
      </c>
    </row>
    <row r="29" spans="1:13" ht="15.6" customHeight="1" x14ac:dyDescent="0.3">
      <c r="A29" s="5" t="s">
        <v>19</v>
      </c>
      <c r="B29">
        <v>537.21752885241233</v>
      </c>
      <c r="C29">
        <v>496.14561623160495</v>
      </c>
      <c r="D29">
        <v>0.22833331425984701</v>
      </c>
      <c r="E29">
        <v>4.2463333606719971</v>
      </c>
      <c r="F29">
        <v>608</v>
      </c>
      <c r="G29">
        <v>1</v>
      </c>
      <c r="H29">
        <v>73</v>
      </c>
      <c r="I29">
        <v>291.27033313115436</v>
      </c>
      <c r="J29">
        <v>71.333333333333329</v>
      </c>
      <c r="K29">
        <v>7.5333356857299805E-2</v>
      </c>
      <c r="L29">
        <v>0</v>
      </c>
      <c r="M29">
        <v>0</v>
      </c>
    </row>
    <row r="30" spans="1:13" ht="15.6" customHeight="1" x14ac:dyDescent="0.3">
      <c r="A30" s="5" t="s">
        <v>20</v>
      </c>
      <c r="B30">
        <v>623.53236879507415</v>
      </c>
      <c r="C30">
        <v>587.96320333483038</v>
      </c>
      <c r="D30">
        <v>0.36133337020874023</v>
      </c>
      <c r="E30">
        <v>10.532000064849854</v>
      </c>
      <c r="F30">
        <v>625.33333333333337</v>
      </c>
      <c r="G30">
        <v>1</v>
      </c>
      <c r="H30">
        <v>90.333333333333329</v>
      </c>
      <c r="I30">
        <v>279.78566662470502</v>
      </c>
      <c r="J30">
        <v>77</v>
      </c>
      <c r="K30">
        <v>0.10599978764851888</v>
      </c>
      <c r="L30">
        <v>0</v>
      </c>
      <c r="M30">
        <v>0</v>
      </c>
    </row>
    <row r="31" spans="1:13" ht="15.6" customHeight="1" x14ac:dyDescent="0.3">
      <c r="A31" s="5" t="s">
        <v>21</v>
      </c>
      <c r="B31">
        <v>855.54606220763355</v>
      </c>
      <c r="C31">
        <v>778.80313927738769</v>
      </c>
      <c r="D31">
        <v>4.6386666297912598</v>
      </c>
      <c r="E31">
        <v>39.921333312988281</v>
      </c>
      <c r="F31">
        <v>528</v>
      </c>
      <c r="G31">
        <v>1</v>
      </c>
      <c r="H31">
        <v>87</v>
      </c>
      <c r="I31">
        <v>234.12666718165079</v>
      </c>
      <c r="J31">
        <v>104</v>
      </c>
      <c r="K31">
        <v>0.15266712506612143</v>
      </c>
      <c r="L31">
        <v>0</v>
      </c>
      <c r="M31">
        <v>0</v>
      </c>
    </row>
    <row r="32" spans="1:13" ht="15.6" customHeight="1" x14ac:dyDescent="0.3">
      <c r="A32" s="5" t="s">
        <v>22</v>
      </c>
      <c r="B32">
        <v>547.64906268512107</v>
      </c>
      <c r="C32">
        <v>518.14683649260235</v>
      </c>
      <c r="D32">
        <v>0.37733332316080731</v>
      </c>
      <c r="E32">
        <v>8.7599999904632568</v>
      </c>
      <c r="F32">
        <v>785</v>
      </c>
      <c r="G32">
        <v>1</v>
      </c>
      <c r="H32">
        <v>59.333333333333336</v>
      </c>
      <c r="I32">
        <v>286.78233345349628</v>
      </c>
      <c r="J32">
        <v>80.666666666666671</v>
      </c>
      <c r="K32">
        <v>0.10199975967407227</v>
      </c>
      <c r="L32">
        <v>0</v>
      </c>
      <c r="M32">
        <v>0</v>
      </c>
    </row>
    <row r="33" spans="1:13" ht="15.6" customHeight="1" x14ac:dyDescent="0.3">
      <c r="A33" s="6" t="s">
        <v>23</v>
      </c>
      <c r="B33">
        <v>760.19852713019293</v>
      </c>
      <c r="C33">
        <v>710.41056632651123</v>
      </c>
      <c r="D33">
        <v>0.73066671689351403</v>
      </c>
      <c r="E33">
        <v>18.671000003814697</v>
      </c>
      <c r="F33">
        <v>768.33333333333337</v>
      </c>
      <c r="G33">
        <v>1</v>
      </c>
      <c r="H33">
        <v>53.666666666666664</v>
      </c>
      <c r="I33">
        <v>274.36000029246014</v>
      </c>
      <c r="J33">
        <v>69.333333333333329</v>
      </c>
      <c r="K33">
        <v>0.12166651089986165</v>
      </c>
      <c r="L33">
        <v>0</v>
      </c>
      <c r="M33">
        <v>0</v>
      </c>
    </row>
    <row r="34" spans="1:13" ht="14.4" customHeight="1" x14ac:dyDescent="0.3">
      <c r="A34" s="4" t="s">
        <v>25</v>
      </c>
    </row>
    <row r="35" spans="1:13" ht="15.6" customHeight="1" x14ac:dyDescent="0.3">
      <c r="A35" s="5" t="s">
        <v>10</v>
      </c>
      <c r="B35">
        <v>476.82309217691164</v>
      </c>
      <c r="C35">
        <v>470.95318134914214</v>
      </c>
      <c r="D35">
        <v>0.84433333079020179</v>
      </c>
      <c r="E35">
        <v>1.7383333047231038</v>
      </c>
      <c r="F35">
        <v>483.33333333333331</v>
      </c>
      <c r="G35">
        <v>1</v>
      </c>
      <c r="H35">
        <v>151.66666666666666</v>
      </c>
      <c r="I35">
        <v>277.01466600100201</v>
      </c>
      <c r="J35">
        <v>21.666666666666668</v>
      </c>
      <c r="K35">
        <v>2.4666945139567058E-2</v>
      </c>
      <c r="L35">
        <v>0</v>
      </c>
      <c r="M35">
        <v>0</v>
      </c>
    </row>
    <row r="36" spans="1:13" ht="15.6" customHeight="1" x14ac:dyDescent="0.3">
      <c r="A36" s="5" t="s">
        <v>11</v>
      </c>
      <c r="B36">
        <v>657.09224828585741</v>
      </c>
      <c r="C36">
        <v>627.58661410692287</v>
      </c>
      <c r="D36">
        <v>4.0193334420522051</v>
      </c>
      <c r="E36">
        <v>38.648333390553795</v>
      </c>
      <c r="F36">
        <v>670.66666666666663</v>
      </c>
      <c r="G36">
        <v>1</v>
      </c>
      <c r="H36">
        <v>263.66666666666669</v>
      </c>
      <c r="I36">
        <v>238.68800012270609</v>
      </c>
      <c r="J36">
        <v>61.333333333333336</v>
      </c>
      <c r="K36">
        <v>0.10633349418640137</v>
      </c>
      <c r="L36">
        <v>0</v>
      </c>
      <c r="M36">
        <v>0</v>
      </c>
    </row>
    <row r="37" spans="1:13" ht="15.6" customHeight="1" x14ac:dyDescent="0.3">
      <c r="A37" s="5" t="s">
        <v>12</v>
      </c>
      <c r="B37">
        <v>848.12713670753999</v>
      </c>
      <c r="C37">
        <v>795.72301033291785</v>
      </c>
      <c r="D37">
        <v>5.0739999612172442</v>
      </c>
      <c r="E37">
        <v>45.135000069936119</v>
      </c>
      <c r="F37">
        <v>501.33333333333331</v>
      </c>
      <c r="G37">
        <v>1</v>
      </c>
      <c r="H37">
        <v>175.33333333333334</v>
      </c>
      <c r="I37">
        <v>239.76266566912332</v>
      </c>
      <c r="J37">
        <v>105.33333333333333</v>
      </c>
      <c r="K37">
        <v>0.12333321571350098</v>
      </c>
      <c r="L37">
        <v>0</v>
      </c>
      <c r="M37">
        <v>0.66666666666666663</v>
      </c>
    </row>
    <row r="38" spans="1:13" ht="15.6" customHeight="1" x14ac:dyDescent="0.3">
      <c r="A38" s="5" t="s">
        <v>13</v>
      </c>
      <c r="B38">
        <v>427.75245668236062</v>
      </c>
      <c r="C38">
        <v>399.14330594613148</v>
      </c>
      <c r="D38">
        <v>1.4253333409627278</v>
      </c>
      <c r="E38">
        <v>25.999333302179974</v>
      </c>
      <c r="F38">
        <v>642</v>
      </c>
      <c r="G38">
        <v>1</v>
      </c>
      <c r="H38">
        <v>147</v>
      </c>
      <c r="I38">
        <v>266.45966649055481</v>
      </c>
      <c r="J38">
        <v>140</v>
      </c>
      <c r="K38">
        <v>0.23433295885721842</v>
      </c>
      <c r="L38">
        <v>0</v>
      </c>
      <c r="M38">
        <v>0</v>
      </c>
    </row>
    <row r="39" spans="1:13" ht="15.6" customHeight="1" x14ac:dyDescent="0.3">
      <c r="A39" s="5" t="s">
        <v>14</v>
      </c>
      <c r="B39">
        <v>545.50296759563082</v>
      </c>
      <c r="C39">
        <v>514.14711959944714</v>
      </c>
      <c r="D39">
        <v>1.5016666253407795</v>
      </c>
      <c r="E39">
        <v>32.636333306630455</v>
      </c>
      <c r="F39">
        <v>609</v>
      </c>
      <c r="G39">
        <v>1</v>
      </c>
      <c r="H39">
        <v>116.33333333333333</v>
      </c>
      <c r="I39">
        <v>243.53699994087219</v>
      </c>
      <c r="J39">
        <v>63</v>
      </c>
      <c r="K39">
        <v>0.10300016403198242</v>
      </c>
      <c r="L39">
        <v>0</v>
      </c>
      <c r="M39">
        <v>0</v>
      </c>
    </row>
    <row r="40" spans="1:13" ht="15.6" customHeight="1" x14ac:dyDescent="0.3">
      <c r="A40" s="5" t="s">
        <v>15</v>
      </c>
      <c r="B40">
        <v>908.88936235702124</v>
      </c>
      <c r="C40">
        <v>870.42446882402817</v>
      </c>
      <c r="D40">
        <v>13.224666674931845</v>
      </c>
      <c r="E40">
        <v>39.647333304087319</v>
      </c>
      <c r="F40">
        <v>525</v>
      </c>
      <c r="G40">
        <v>1</v>
      </c>
      <c r="H40">
        <v>130</v>
      </c>
      <c r="I40">
        <v>234.68900148073831</v>
      </c>
      <c r="J40">
        <v>331</v>
      </c>
      <c r="K40">
        <v>0.29533505439758301</v>
      </c>
      <c r="L40">
        <v>0</v>
      </c>
      <c r="M40">
        <v>0</v>
      </c>
    </row>
    <row r="41" spans="1:13" ht="15.6" customHeight="1" x14ac:dyDescent="0.3">
      <c r="A41" s="5" t="s">
        <v>16</v>
      </c>
      <c r="B41">
        <v>1084.4190009431579</v>
      </c>
      <c r="C41">
        <v>1039.3079995364112</v>
      </c>
      <c r="D41">
        <v>3.2143332163492837</v>
      </c>
      <c r="E41">
        <v>35.552333196004234</v>
      </c>
      <c r="F41">
        <v>574</v>
      </c>
      <c r="G41">
        <v>1</v>
      </c>
      <c r="H41">
        <v>149.33333333333334</v>
      </c>
      <c r="I41">
        <v>252.13466588656107</v>
      </c>
      <c r="J41">
        <v>141.33333333333334</v>
      </c>
      <c r="K41">
        <v>0.23099986712137857</v>
      </c>
      <c r="L41">
        <v>0</v>
      </c>
      <c r="M41">
        <v>0</v>
      </c>
    </row>
    <row r="42" spans="1:13" ht="15.6" customHeight="1" x14ac:dyDescent="0.3">
      <c r="A42" s="5" t="s">
        <v>17</v>
      </c>
      <c r="B42">
        <v>328.32347192670437</v>
      </c>
      <c r="C42">
        <v>290.20459295136777</v>
      </c>
      <c r="D42">
        <v>0.2176666259765625</v>
      </c>
      <c r="E42">
        <v>163.35500001907349</v>
      </c>
      <c r="F42">
        <v>360</v>
      </c>
      <c r="G42">
        <v>1</v>
      </c>
      <c r="H42">
        <v>49.666666666666664</v>
      </c>
      <c r="I42">
        <v>294.32233262062073</v>
      </c>
      <c r="J42">
        <v>59.666666666666664</v>
      </c>
      <c r="K42">
        <v>6.8333943684895829E-2</v>
      </c>
      <c r="L42">
        <v>0</v>
      </c>
      <c r="M42">
        <v>0</v>
      </c>
    </row>
    <row r="43" spans="1:13" ht="15.6" customHeight="1" x14ac:dyDescent="0.3">
      <c r="A43" s="5" t="s">
        <v>18</v>
      </c>
      <c r="B43">
        <v>615.60124220885575</v>
      </c>
      <c r="C43">
        <v>503.04187444360383</v>
      </c>
      <c r="D43">
        <v>2.8573334217071533</v>
      </c>
      <c r="E43">
        <v>14.757333358128866</v>
      </c>
      <c r="F43">
        <v>768</v>
      </c>
      <c r="G43">
        <v>1</v>
      </c>
      <c r="H43">
        <v>157.66666666666666</v>
      </c>
      <c r="I43">
        <v>265.41466752688092</v>
      </c>
      <c r="J43">
        <v>145.33333333333334</v>
      </c>
      <c r="K43">
        <v>0.35399993260701496</v>
      </c>
      <c r="L43">
        <v>0</v>
      </c>
      <c r="M43">
        <v>0</v>
      </c>
    </row>
    <row r="44" spans="1:13" ht="15.6" customHeight="1" x14ac:dyDescent="0.3">
      <c r="A44" s="5" t="s">
        <v>19</v>
      </c>
      <c r="B44">
        <v>800.06530506006823</v>
      </c>
      <c r="C44">
        <v>733.14183085297179</v>
      </c>
      <c r="D44">
        <v>8.3220000267028809</v>
      </c>
      <c r="E44">
        <v>50.13933332761129</v>
      </c>
      <c r="F44">
        <v>660</v>
      </c>
      <c r="G44">
        <v>1</v>
      </c>
      <c r="H44">
        <v>100.66666666666667</v>
      </c>
      <c r="I44">
        <v>235.52166724205017</v>
      </c>
      <c r="J44">
        <v>100.33333333333333</v>
      </c>
      <c r="K44">
        <v>0.27866649627685547</v>
      </c>
      <c r="L44">
        <v>0</v>
      </c>
      <c r="M44">
        <v>0</v>
      </c>
    </row>
    <row r="45" spans="1:13" ht="15.6" customHeight="1" x14ac:dyDescent="0.3">
      <c r="A45" s="5" t="s">
        <v>20</v>
      </c>
      <c r="B45">
        <v>1019.8118147282839</v>
      </c>
      <c r="C45">
        <v>943.329148159802</v>
      </c>
      <c r="D45">
        <v>10.395000060399374</v>
      </c>
      <c r="E45">
        <v>57.515666643778481</v>
      </c>
      <c r="F45">
        <v>510.66666666666669</v>
      </c>
      <c r="G45">
        <v>1</v>
      </c>
      <c r="H45">
        <v>95</v>
      </c>
      <c r="I45">
        <v>235.50600043932596</v>
      </c>
      <c r="J45">
        <v>118</v>
      </c>
      <c r="K45">
        <v>0.23400060335795084</v>
      </c>
      <c r="L45">
        <v>0</v>
      </c>
      <c r="M45">
        <v>0</v>
      </c>
    </row>
    <row r="46" spans="1:13" ht="15.6" customHeight="1" x14ac:dyDescent="0.3">
      <c r="A46" s="5" t="s">
        <v>21</v>
      </c>
      <c r="B46">
        <v>1273.8659500427507</v>
      </c>
      <c r="C46">
        <v>1246.4317763971374</v>
      </c>
      <c r="D46">
        <v>14.751333395640055</v>
      </c>
      <c r="E46">
        <v>56.404333353042603</v>
      </c>
      <c r="F46">
        <v>373.33333333333331</v>
      </c>
      <c r="G46">
        <v>1</v>
      </c>
      <c r="H46">
        <v>68.333333333333329</v>
      </c>
      <c r="I46">
        <v>235.45600016911825</v>
      </c>
      <c r="J46">
        <v>133.33333333333334</v>
      </c>
      <c r="K46">
        <v>0.13533306121826172</v>
      </c>
      <c r="L46">
        <v>0</v>
      </c>
      <c r="M46">
        <v>0</v>
      </c>
    </row>
    <row r="47" spans="1:13" ht="15.6" customHeight="1" x14ac:dyDescent="0.3">
      <c r="A47" s="5" t="s">
        <v>22</v>
      </c>
      <c r="B47">
        <v>754.4829888711505</v>
      </c>
      <c r="C47">
        <v>729.67217724969726</v>
      </c>
      <c r="D47">
        <v>6.5493332544962568</v>
      </c>
      <c r="E47">
        <v>45.095666646957397</v>
      </c>
      <c r="F47">
        <v>520</v>
      </c>
      <c r="G47">
        <v>1</v>
      </c>
      <c r="H47">
        <v>71</v>
      </c>
      <c r="I47">
        <v>236.15766525268555</v>
      </c>
      <c r="J47">
        <v>70.666666666666671</v>
      </c>
      <c r="K47">
        <v>9.9333127339680985E-2</v>
      </c>
      <c r="L47">
        <v>0</v>
      </c>
      <c r="M47">
        <v>0</v>
      </c>
    </row>
    <row r="48" spans="1:13" ht="15.6" customHeight="1" x14ac:dyDescent="0.3">
      <c r="A48" s="6" t="s">
        <v>23</v>
      </c>
      <c r="B48">
        <v>1398.4935200198768</v>
      </c>
      <c r="C48">
        <v>1267.5280474826166</v>
      </c>
      <c r="D48">
        <v>26.736666758855183</v>
      </c>
      <c r="E48">
        <v>48.472000122070313</v>
      </c>
      <c r="F48">
        <v>336.66666666666669</v>
      </c>
      <c r="G48">
        <v>1</v>
      </c>
      <c r="H48">
        <v>60</v>
      </c>
      <c r="I48">
        <v>233.73466714223227</v>
      </c>
      <c r="J48">
        <v>48</v>
      </c>
      <c r="K48">
        <v>0.13466684023539224</v>
      </c>
      <c r="L48">
        <v>0</v>
      </c>
      <c r="M48">
        <v>0</v>
      </c>
    </row>
    <row r="49" spans="1:13" x14ac:dyDescent="0.25">
      <c r="A49" t="s">
        <v>144</v>
      </c>
    </row>
    <row r="50" spans="1:13" x14ac:dyDescent="0.25">
      <c r="A50" t="s">
        <v>145</v>
      </c>
    </row>
    <row r="52" spans="1:13" x14ac:dyDescent="0.25">
      <c r="A52" t="s">
        <v>146</v>
      </c>
    </row>
    <row r="53" spans="1:13" x14ac:dyDescent="0.25">
      <c r="A53" t="s">
        <v>147</v>
      </c>
      <c r="B53" t="s">
        <v>161</v>
      </c>
      <c r="C53" t="s">
        <v>162</v>
      </c>
      <c r="D53" t="s">
        <v>173</v>
      </c>
      <c r="E53" t="s">
        <v>171</v>
      </c>
      <c r="F53" t="s">
        <v>163</v>
      </c>
      <c r="G53" t="s">
        <v>164</v>
      </c>
      <c r="H53" t="s">
        <v>165</v>
      </c>
      <c r="I53" t="s">
        <v>166</v>
      </c>
      <c r="J53" t="s">
        <v>167</v>
      </c>
      <c r="K53" t="s">
        <v>168</v>
      </c>
      <c r="L53" t="s">
        <v>169</v>
      </c>
      <c r="M53" t="s">
        <v>170</v>
      </c>
    </row>
    <row r="54" spans="1:13" x14ac:dyDescent="0.25">
      <c r="A54" t="s">
        <v>151</v>
      </c>
      <c r="B54">
        <f t="shared" ref="B54:M54" si="0">IF(COUNT(B20,B21,B22,B23,B24,B25,B26,B27,B28,B29,B30,B31,B32,B33)=14,AVERAGE(B20,B21,B22,B23,B24,B25,B26,B27,B28,B29,B30,B31,B32,B33),"NA")</f>
        <v>530.14807905587679</v>
      </c>
      <c r="C54">
        <f t="shared" si="0"/>
        <v>501.90852259059545</v>
      </c>
      <c r="D54">
        <f t="shared" si="0"/>
        <v>1.3228571358181185</v>
      </c>
      <c r="E54">
        <f t="shared" si="0"/>
        <v>14.404333318982806</v>
      </c>
      <c r="F54">
        <f t="shared" si="0"/>
        <v>577.35714285714278</v>
      </c>
      <c r="G54">
        <f t="shared" si="0"/>
        <v>1</v>
      </c>
      <c r="H54">
        <f t="shared" si="0"/>
        <v>109.19047619047618</v>
      </c>
      <c r="I54">
        <f t="shared" si="0"/>
        <v>276.17835727759768</v>
      </c>
      <c r="J54">
        <f t="shared" si="0"/>
        <v>62.333333333333336</v>
      </c>
      <c r="K54">
        <f t="shared" si="0"/>
        <v>8.5071336655389698E-2</v>
      </c>
      <c r="L54">
        <f t="shared" si="0"/>
        <v>0</v>
      </c>
      <c r="M54">
        <f t="shared" si="0"/>
        <v>7.1428571428571425E-2</v>
      </c>
    </row>
    <row r="55" spans="1:13" x14ac:dyDescent="0.25">
      <c r="A55" t="s">
        <v>152</v>
      </c>
      <c r="B55">
        <f t="shared" ref="B55:M55" si="1">IF(COUNT(B35,B36,B37,B38,B39,B40,B41,B42,B43,B44,B45,B46,B47,B48)=14,AVERAGE(B35,B36,B37,B38,B39,B40,B41,B42,B43,B44,B45,B46,B47,B48),"NA")</f>
        <v>795.6607541147265</v>
      </c>
      <c r="C55">
        <f t="shared" si="1"/>
        <v>745.0453676594426</v>
      </c>
      <c r="D55">
        <f t="shared" si="1"/>
        <v>7.0809285811015537</v>
      </c>
      <c r="E55">
        <f t="shared" si="1"/>
        <v>46.792595238912668</v>
      </c>
      <c r="F55">
        <f t="shared" si="1"/>
        <v>538.14285714285711</v>
      </c>
      <c r="G55">
        <f t="shared" si="1"/>
        <v>1</v>
      </c>
      <c r="H55">
        <f t="shared" si="1"/>
        <v>123.9761904761905</v>
      </c>
      <c r="I55">
        <f t="shared" si="1"/>
        <v>249.17133328460514</v>
      </c>
      <c r="J55">
        <f t="shared" si="1"/>
        <v>109.92857142857142</v>
      </c>
      <c r="K55">
        <f t="shared" si="1"/>
        <v>0.17302397886912027</v>
      </c>
      <c r="L55">
        <f t="shared" si="1"/>
        <v>0</v>
      </c>
      <c r="M55">
        <f t="shared" si="1"/>
        <v>4.7619047619047616E-2</v>
      </c>
    </row>
    <row r="56" spans="1:13" x14ac:dyDescent="0.25">
      <c r="A56" t="s">
        <v>153</v>
      </c>
      <c r="B56">
        <f t="shared" ref="B56:M56" si="2">IF(COUNT(B20,B21,B22,B23,B24,B25,B26,B27,B28,B29,B30,B31,B32,B33,B35,B36,B37,B38,B39,B40,B41,B42,B43,B44,B45,B46,B47,B48)=28,AVERAGE(B20,B21,B22,B23,B24,B25,B26,B27,B28,B29,B30,B31,B32,B33,B35,B36,B37,B38,B39,B40,B41,B42,B43,B44,B45,B46,B47,B48),"NA")</f>
        <v>662.90441658530165</v>
      </c>
      <c r="C56">
        <f t="shared" si="2"/>
        <v>623.47694512501926</v>
      </c>
      <c r="D56">
        <f t="shared" si="2"/>
        <v>4.2018928584598365</v>
      </c>
      <c r="E56">
        <f t="shared" si="2"/>
        <v>30.598464278947741</v>
      </c>
      <c r="F56">
        <f t="shared" si="2"/>
        <v>557.74999999999989</v>
      </c>
      <c r="G56">
        <f t="shared" si="2"/>
        <v>1</v>
      </c>
      <c r="H56">
        <f t="shared" si="2"/>
        <v>116.58333333333334</v>
      </c>
      <c r="I56">
        <f t="shared" si="2"/>
        <v>262.67484528110145</v>
      </c>
      <c r="J56">
        <f t="shared" si="2"/>
        <v>86.13095238095238</v>
      </c>
      <c r="K56">
        <f t="shared" si="2"/>
        <v>0.12904765776225499</v>
      </c>
      <c r="L56">
        <f t="shared" si="2"/>
        <v>0</v>
      </c>
      <c r="M56">
        <f t="shared" si="2"/>
        <v>5.9523809523809521E-2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showGridLines="0" zoomScaleNormal="100" workbookViewId="0"/>
  </sheetViews>
  <sheetFormatPr defaultColWidth="9.77734375" defaultRowHeight="13.2" x14ac:dyDescent="0.25"/>
  <cols>
    <col min="1" max="1" width="20.44140625" customWidth="1"/>
    <col min="2" max="2" width="32.88671875" customWidth="1"/>
    <col min="3" max="3" width="31.77734375" customWidth="1"/>
    <col min="4" max="4" width="52.21875" customWidth="1"/>
  </cols>
  <sheetData>
    <row r="1" spans="1:4" ht="14.4" customHeight="1" x14ac:dyDescent="0.3">
      <c r="A1" s="8" t="s">
        <v>42</v>
      </c>
      <c r="B1" s="9" t="s">
        <v>43</v>
      </c>
      <c r="C1" s="9" t="s">
        <v>44</v>
      </c>
      <c r="D1" s="9" t="s">
        <v>45</v>
      </c>
    </row>
    <row r="2" spans="1:4" ht="14.4" customHeight="1" x14ac:dyDescent="0.3">
      <c r="A2" s="10" t="s">
        <v>46</v>
      </c>
      <c r="B2" s="11" t="s">
        <v>47</v>
      </c>
      <c r="C2" s="11" t="s">
        <v>48</v>
      </c>
      <c r="D2" s="11" t="s">
        <v>49</v>
      </c>
    </row>
    <row r="3" spans="1:4" ht="14.4" customHeight="1" x14ac:dyDescent="0.3">
      <c r="A3" s="10" t="s">
        <v>46</v>
      </c>
      <c r="B3" s="11" t="s">
        <v>50</v>
      </c>
      <c r="C3" s="11" t="s">
        <v>51</v>
      </c>
      <c r="D3" s="11" t="s">
        <v>52</v>
      </c>
    </row>
    <row r="4" spans="1:4" ht="14.4" customHeight="1" x14ac:dyDescent="0.3">
      <c r="A4" s="10" t="s">
        <v>46</v>
      </c>
      <c r="B4" s="11" t="s">
        <v>53</v>
      </c>
      <c r="C4" s="11">
        <v>7200</v>
      </c>
      <c r="D4" s="11" t="s">
        <v>54</v>
      </c>
    </row>
    <row r="5" spans="1:4" ht="14.4" customHeight="1" x14ac:dyDescent="0.3">
      <c r="A5" s="10" t="s">
        <v>46</v>
      </c>
      <c r="B5" s="11" t="s">
        <v>55</v>
      </c>
      <c r="C5" s="11">
        <v>300</v>
      </c>
      <c r="D5" s="11" t="s">
        <v>56</v>
      </c>
    </row>
    <row r="6" spans="1:4" ht="14.4" customHeight="1" x14ac:dyDescent="0.3">
      <c r="A6" s="10" t="s">
        <v>46</v>
      </c>
      <c r="B6" s="11" t="s">
        <v>57</v>
      </c>
      <c r="C6" s="11">
        <v>1</v>
      </c>
      <c r="D6" s="11" t="s">
        <v>58</v>
      </c>
    </row>
    <row r="7" spans="1:4" ht="14.4" customHeight="1" x14ac:dyDescent="0.3">
      <c r="A7" s="10" t="s">
        <v>46</v>
      </c>
      <c r="B7" s="11" t="s">
        <v>59</v>
      </c>
      <c r="C7" s="11">
        <v>1</v>
      </c>
      <c r="D7" s="11" t="s">
        <v>60</v>
      </c>
    </row>
    <row r="8" spans="1:4" ht="14.4" customHeight="1" x14ac:dyDescent="0.3">
      <c r="A8" s="10" t="s">
        <v>46</v>
      </c>
      <c r="B8" s="11" t="s">
        <v>61</v>
      </c>
      <c r="C8" s="11">
        <v>1234</v>
      </c>
      <c r="D8" s="11" t="s">
        <v>62</v>
      </c>
    </row>
    <row r="9" spans="1:4" ht="14.4" customHeight="1" x14ac:dyDescent="0.3">
      <c r="A9" s="10" t="s">
        <v>63</v>
      </c>
      <c r="B9" s="11" t="s">
        <v>64</v>
      </c>
      <c r="C9" s="11">
        <v>1E-3</v>
      </c>
      <c r="D9" s="11" t="s">
        <v>65</v>
      </c>
    </row>
    <row r="10" spans="1:4" ht="14.4" customHeight="1" x14ac:dyDescent="0.3">
      <c r="A10" s="10" t="s">
        <v>63</v>
      </c>
      <c r="B10" s="11" t="s">
        <v>66</v>
      </c>
      <c r="C10" s="11">
        <v>12</v>
      </c>
      <c r="D10" s="11" t="s">
        <v>67</v>
      </c>
    </row>
    <row r="11" spans="1:4" ht="14.4" customHeight="1" x14ac:dyDescent="0.3">
      <c r="A11" s="10" t="s">
        <v>63</v>
      </c>
      <c r="B11" s="11" t="s">
        <v>68</v>
      </c>
      <c r="C11" s="11">
        <v>2</v>
      </c>
      <c r="D11" s="11" t="s">
        <v>69</v>
      </c>
    </row>
    <row r="12" spans="1:4" ht="14.4" customHeight="1" x14ac:dyDescent="0.3">
      <c r="A12" s="10" t="s">
        <v>63</v>
      </c>
      <c r="B12" s="11" t="s">
        <v>70</v>
      </c>
      <c r="C12" s="11">
        <v>120</v>
      </c>
      <c r="D12" s="11" t="s">
        <v>71</v>
      </c>
    </row>
    <row r="13" spans="1:4" ht="14.4" customHeight="1" x14ac:dyDescent="0.3">
      <c r="A13" s="10" t="s">
        <v>63</v>
      </c>
      <c r="B13" s="11" t="s">
        <v>72</v>
      </c>
      <c r="C13" s="11">
        <v>12</v>
      </c>
      <c r="D13" s="11" t="s">
        <v>73</v>
      </c>
    </row>
    <row r="14" spans="1:4" ht="14.4" customHeight="1" x14ac:dyDescent="0.3">
      <c r="A14" s="10" t="s">
        <v>63</v>
      </c>
      <c r="B14" s="11" t="s">
        <v>74</v>
      </c>
      <c r="C14" s="11">
        <v>45</v>
      </c>
      <c r="D14" s="11" t="s">
        <v>75</v>
      </c>
    </row>
    <row r="15" spans="1:4" ht="14.4" customHeight="1" x14ac:dyDescent="0.3">
      <c r="A15" s="10" t="s">
        <v>63</v>
      </c>
      <c r="B15" s="11" t="s">
        <v>76</v>
      </c>
      <c r="C15" s="11">
        <v>20</v>
      </c>
      <c r="D15" s="11" t="s">
        <v>77</v>
      </c>
    </row>
    <row r="16" spans="1:4" ht="14.4" customHeight="1" x14ac:dyDescent="0.3">
      <c r="A16" s="10" t="s">
        <v>63</v>
      </c>
      <c r="B16" s="11" t="s">
        <v>78</v>
      </c>
      <c r="C16" s="11">
        <v>20</v>
      </c>
      <c r="D16" s="11" t="s">
        <v>79</v>
      </c>
    </row>
    <row r="17" spans="1:4" ht="14.4" customHeight="1" x14ac:dyDescent="0.3">
      <c r="A17" s="10" t="s">
        <v>63</v>
      </c>
      <c r="B17" s="11" t="s">
        <v>80</v>
      </c>
      <c r="C17" s="11">
        <v>1</v>
      </c>
      <c r="D17" s="11" t="s">
        <v>81</v>
      </c>
    </row>
    <row r="18" spans="1:4" ht="14.4" customHeight="1" x14ac:dyDescent="0.3">
      <c r="A18" s="10" t="s">
        <v>63</v>
      </c>
      <c r="B18" s="11" t="s">
        <v>82</v>
      </c>
      <c r="C18" s="11">
        <v>10000</v>
      </c>
      <c r="D18" s="11" t="s">
        <v>83</v>
      </c>
    </row>
    <row r="19" spans="1:4" ht="14.4" customHeight="1" x14ac:dyDescent="0.3">
      <c r="A19" s="10" t="s">
        <v>63</v>
      </c>
      <c r="B19" s="11" t="s">
        <v>84</v>
      </c>
      <c r="C19" s="11">
        <v>10000</v>
      </c>
      <c r="D19" s="11" t="s">
        <v>85</v>
      </c>
    </row>
    <row r="20" spans="1:4" ht="14.4" customHeight="1" x14ac:dyDescent="0.3">
      <c r="A20" s="10" t="s">
        <v>63</v>
      </c>
      <c r="B20" s="11" t="s">
        <v>86</v>
      </c>
      <c r="C20" s="11">
        <v>12</v>
      </c>
      <c r="D20" s="11" t="s">
        <v>87</v>
      </c>
    </row>
    <row r="21" spans="1:4" ht="14.4" customHeight="1" x14ac:dyDescent="0.3">
      <c r="A21" s="10" t="s">
        <v>63</v>
      </c>
      <c r="B21" s="11" t="s">
        <v>88</v>
      </c>
      <c r="C21" s="11">
        <v>8</v>
      </c>
      <c r="D21" s="11" t="s">
        <v>89</v>
      </c>
    </row>
    <row r="22" spans="1:4" ht="14.4" customHeight="1" x14ac:dyDescent="0.3">
      <c r="A22" s="10" t="s">
        <v>63</v>
      </c>
      <c r="B22" s="11" t="s">
        <v>90</v>
      </c>
      <c r="C22" s="11">
        <v>20</v>
      </c>
      <c r="D22" s="11" t="s">
        <v>91</v>
      </c>
    </row>
    <row r="23" spans="1:4" ht="14.4" customHeight="1" x14ac:dyDescent="0.3">
      <c r="A23" s="10" t="s">
        <v>63</v>
      </c>
      <c r="B23" s="11" t="s">
        <v>92</v>
      </c>
      <c r="C23" s="11">
        <v>30</v>
      </c>
      <c r="D23" s="11" t="s">
        <v>93</v>
      </c>
    </row>
    <row r="24" spans="1:4" ht="14.4" customHeight="1" x14ac:dyDescent="0.3">
      <c r="A24" s="10" t="s">
        <v>63</v>
      </c>
      <c r="B24" s="11" t="s">
        <v>94</v>
      </c>
      <c r="C24" s="11">
        <v>40</v>
      </c>
      <c r="D24" s="11" t="s">
        <v>95</v>
      </c>
    </row>
    <row r="25" spans="1:4" ht="14.4" customHeight="1" x14ac:dyDescent="0.3">
      <c r="A25" s="10" t="s">
        <v>63</v>
      </c>
      <c r="B25" s="11" t="s">
        <v>96</v>
      </c>
      <c r="C25" s="11">
        <v>2</v>
      </c>
      <c r="D25" s="11" t="s">
        <v>97</v>
      </c>
    </row>
    <row r="26" spans="1:4" ht="14.4" customHeight="1" x14ac:dyDescent="0.3">
      <c r="A26" s="10" t="s">
        <v>63</v>
      </c>
      <c r="B26" s="11" t="s">
        <v>98</v>
      </c>
      <c r="C26" s="11">
        <v>24</v>
      </c>
      <c r="D26" s="11" t="s">
        <v>99</v>
      </c>
    </row>
    <row r="27" spans="1:4" ht="14.4" customHeight="1" x14ac:dyDescent="0.3">
      <c r="A27" s="10" t="s">
        <v>63</v>
      </c>
      <c r="B27" s="11" t="s">
        <v>100</v>
      </c>
      <c r="C27" s="11">
        <v>3</v>
      </c>
      <c r="D27" s="11" t="s">
        <v>101</v>
      </c>
    </row>
    <row r="28" spans="1:4" ht="14.4" customHeight="1" x14ac:dyDescent="0.3">
      <c r="A28" s="10" t="s">
        <v>63</v>
      </c>
      <c r="B28" s="11" t="s">
        <v>102</v>
      </c>
      <c r="C28" s="11">
        <v>2</v>
      </c>
      <c r="D28" s="11" t="s">
        <v>103</v>
      </c>
    </row>
    <row r="29" spans="1:4" ht="14.4" customHeight="1" x14ac:dyDescent="0.3">
      <c r="A29" s="10" t="s">
        <v>63</v>
      </c>
      <c r="B29" s="11" t="s">
        <v>104</v>
      </c>
      <c r="C29" s="11">
        <v>2</v>
      </c>
      <c r="D29" s="11" t="s">
        <v>105</v>
      </c>
    </row>
    <row r="30" spans="1:4" ht="14.4" customHeight="1" x14ac:dyDescent="0.3">
      <c r="A30" s="10" t="s">
        <v>63</v>
      </c>
      <c r="B30" s="11" t="s">
        <v>106</v>
      </c>
      <c r="C30" s="11">
        <v>6</v>
      </c>
      <c r="D30" s="11" t="s">
        <v>107</v>
      </c>
    </row>
    <row r="31" spans="1:4" ht="14.4" customHeight="1" x14ac:dyDescent="0.3">
      <c r="A31" s="10" t="s">
        <v>108</v>
      </c>
      <c r="B31" s="11" t="s">
        <v>109</v>
      </c>
      <c r="C31" s="11">
        <v>1</v>
      </c>
      <c r="D31" s="11" t="s">
        <v>110</v>
      </c>
    </row>
    <row r="32" spans="1:4" ht="14.4" customHeight="1" x14ac:dyDescent="0.3">
      <c r="A32" s="10" t="s">
        <v>108</v>
      </c>
      <c r="B32" s="11" t="s">
        <v>111</v>
      </c>
      <c r="C32" s="11">
        <v>0.1</v>
      </c>
      <c r="D32" s="11" t="s">
        <v>112</v>
      </c>
    </row>
    <row r="33" spans="1:4" ht="14.4" customHeight="1" x14ac:dyDescent="0.3">
      <c r="A33" s="10" t="s">
        <v>108</v>
      </c>
      <c r="B33" s="11" t="s">
        <v>113</v>
      </c>
      <c r="C33" s="11" t="s">
        <v>114</v>
      </c>
      <c r="D33" s="11" t="s">
        <v>115</v>
      </c>
    </row>
    <row r="34" spans="1:4" ht="14.4" customHeight="1" x14ac:dyDescent="0.3">
      <c r="A34" s="10" t="s">
        <v>108</v>
      </c>
      <c r="B34" s="11" t="s">
        <v>116</v>
      </c>
      <c r="C34" s="11">
        <v>1.5</v>
      </c>
      <c r="D34" s="11" t="s">
        <v>117</v>
      </c>
    </row>
    <row r="35" spans="1:4" ht="14.4" customHeight="1" x14ac:dyDescent="0.3">
      <c r="A35" s="12" t="s">
        <v>108</v>
      </c>
      <c r="B35" s="13" t="s">
        <v>118</v>
      </c>
      <c r="C35" s="13">
        <v>30</v>
      </c>
      <c r="D35" s="13" t="s">
        <v>119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3"/>
  <sheetViews>
    <sheetView showGridLines="0" zoomScaleNormal="100" workbookViewId="0">
      <selection sqref="A1:XFD1048576"/>
    </sheetView>
  </sheetViews>
  <sheetFormatPr defaultColWidth="9.77734375" defaultRowHeight="13.2" x14ac:dyDescent="0.25"/>
  <cols>
    <col min="1" max="1" width="12.44140625" customWidth="1"/>
    <col min="2" max="2" width="15.88671875" customWidth="1"/>
    <col min="3" max="3" width="25" customWidth="1"/>
    <col min="4" max="26" width="15.88671875" customWidth="1"/>
  </cols>
  <sheetData>
    <row r="1" spans="1:26" ht="34.049999999999997" customHeight="1" x14ac:dyDescent="0.25">
      <c r="A1" s="22" t="s">
        <v>2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  <c r="M1" s="23" t="s">
        <v>131</v>
      </c>
      <c r="N1" s="23" t="s">
        <v>132</v>
      </c>
      <c r="O1" s="23" t="s">
        <v>133</v>
      </c>
      <c r="P1" s="23" t="s">
        <v>134</v>
      </c>
      <c r="Q1" s="23" t="s">
        <v>135</v>
      </c>
      <c r="R1" s="23" t="s">
        <v>136</v>
      </c>
      <c r="S1" s="23" t="s">
        <v>137</v>
      </c>
      <c r="T1" s="23" t="s">
        <v>138</v>
      </c>
      <c r="U1" s="23" t="s">
        <v>139</v>
      </c>
      <c r="V1" s="23" t="s">
        <v>140</v>
      </c>
      <c r="W1" s="23" t="s">
        <v>141</v>
      </c>
      <c r="X1" s="23" t="s">
        <v>57</v>
      </c>
      <c r="Y1" s="23" t="s">
        <v>59</v>
      </c>
      <c r="Z1" s="23" t="s">
        <v>61</v>
      </c>
    </row>
    <row r="2" spans="1:26" ht="16.350000000000001" customHeight="1" x14ac:dyDescent="0.3">
      <c r="A2" s="14" t="s">
        <v>10</v>
      </c>
      <c r="B2" s="15">
        <v>0.1</v>
      </c>
      <c r="C2" s="14" t="s">
        <v>338</v>
      </c>
      <c r="D2" s="14" t="s">
        <v>339</v>
      </c>
      <c r="E2" s="14" t="b">
        <v>1</v>
      </c>
      <c r="F2" s="16">
        <v>294.24795014249145</v>
      </c>
      <c r="G2" s="16">
        <v>294.24795014249145</v>
      </c>
      <c r="H2" s="16">
        <v>0</v>
      </c>
      <c r="I2" s="14">
        <v>294.2479501424915</v>
      </c>
      <c r="J2" s="14">
        <v>0</v>
      </c>
      <c r="K2" s="16">
        <v>0</v>
      </c>
      <c r="L2" s="14">
        <v>0</v>
      </c>
      <c r="M2" s="14">
        <v>0</v>
      </c>
      <c r="N2" s="14">
        <v>0</v>
      </c>
      <c r="O2" s="16">
        <v>29.170000076293945</v>
      </c>
      <c r="P2" s="14">
        <v>5413</v>
      </c>
      <c r="Q2" s="14" t="b">
        <v>1</v>
      </c>
      <c r="R2" s="14" t="b">
        <v>1</v>
      </c>
      <c r="S2" s="14">
        <v>0</v>
      </c>
      <c r="T2" s="14">
        <v>0</v>
      </c>
      <c r="U2" s="14">
        <v>0</v>
      </c>
      <c r="V2" s="14" t="b">
        <v>1</v>
      </c>
      <c r="W2" s="14">
        <v>7200</v>
      </c>
      <c r="X2" s="14">
        <v>1</v>
      </c>
      <c r="Y2" s="14">
        <v>1</v>
      </c>
      <c r="Z2" s="14">
        <v>1234</v>
      </c>
    </row>
    <row r="3" spans="1:26" ht="16.350000000000001" customHeight="1" x14ac:dyDescent="0.3">
      <c r="A3" s="11" t="s">
        <v>11</v>
      </c>
      <c r="B3" s="17">
        <v>0.1</v>
      </c>
      <c r="C3" s="11" t="s">
        <v>338</v>
      </c>
      <c r="D3" s="11" t="s">
        <v>339</v>
      </c>
      <c r="E3" s="11" t="b">
        <v>1</v>
      </c>
      <c r="F3" s="18">
        <v>344.83406680672744</v>
      </c>
      <c r="G3" s="18">
        <v>344.83406680672738</v>
      </c>
      <c r="H3" s="18">
        <v>1.6484281668338647E-14</v>
      </c>
      <c r="I3" s="11">
        <v>344.83406680672755</v>
      </c>
      <c r="J3" s="11">
        <v>0</v>
      </c>
      <c r="K3" s="18">
        <v>0</v>
      </c>
      <c r="L3" s="11">
        <v>0</v>
      </c>
      <c r="M3" s="11">
        <v>0</v>
      </c>
      <c r="N3" s="11">
        <v>0</v>
      </c>
      <c r="O3" s="18">
        <v>178.13499999046326</v>
      </c>
      <c r="P3" s="11">
        <v>6617</v>
      </c>
      <c r="Q3" s="11" t="b">
        <v>1</v>
      </c>
      <c r="R3" s="11" t="b">
        <v>1</v>
      </c>
      <c r="S3" s="11">
        <v>0</v>
      </c>
      <c r="T3" s="11">
        <v>0</v>
      </c>
      <c r="U3" s="11">
        <v>0</v>
      </c>
      <c r="V3" s="11" t="b">
        <v>1</v>
      </c>
      <c r="W3" s="11">
        <v>7200</v>
      </c>
      <c r="X3" s="11">
        <v>1</v>
      </c>
      <c r="Y3" s="11">
        <v>1</v>
      </c>
      <c r="Z3" s="11">
        <v>1234</v>
      </c>
    </row>
    <row r="4" spans="1:26" ht="16.350000000000001" customHeight="1" x14ac:dyDescent="0.3">
      <c r="A4" s="11" t="s">
        <v>12</v>
      </c>
      <c r="B4" s="17">
        <v>0.1</v>
      </c>
      <c r="C4" s="11" t="s">
        <v>338</v>
      </c>
      <c r="D4" s="11" t="s">
        <v>339</v>
      </c>
      <c r="E4" s="11" t="b">
        <v>1</v>
      </c>
      <c r="F4" s="18">
        <v>431.12041125743104</v>
      </c>
      <c r="G4" s="18">
        <v>431.12041125743099</v>
      </c>
      <c r="H4" s="18">
        <v>1.3185044682763957E-14</v>
      </c>
      <c r="I4" s="11">
        <v>431.1204112574311</v>
      </c>
      <c r="J4" s="11">
        <v>0</v>
      </c>
      <c r="K4" s="18">
        <v>0</v>
      </c>
      <c r="L4" s="11">
        <v>0</v>
      </c>
      <c r="M4" s="11">
        <v>0</v>
      </c>
      <c r="N4" s="11">
        <v>0</v>
      </c>
      <c r="O4" s="18">
        <v>919.95900011062622</v>
      </c>
      <c r="P4" s="11">
        <v>63624</v>
      </c>
      <c r="Q4" s="11" t="b">
        <v>1</v>
      </c>
      <c r="R4" s="11" t="b">
        <v>1</v>
      </c>
      <c r="S4" s="11">
        <v>0</v>
      </c>
      <c r="T4" s="11">
        <v>0</v>
      </c>
      <c r="U4" s="11">
        <v>0</v>
      </c>
      <c r="V4" s="11" t="b">
        <v>1</v>
      </c>
      <c r="W4" s="11">
        <v>7200</v>
      </c>
      <c r="X4" s="11">
        <v>1</v>
      </c>
      <c r="Y4" s="11">
        <v>1</v>
      </c>
      <c r="Z4" s="11">
        <v>1234</v>
      </c>
    </row>
    <row r="5" spans="1:26" ht="16.350000000000001" customHeight="1" x14ac:dyDescent="0.3">
      <c r="A5" s="11" t="s">
        <v>13</v>
      </c>
      <c r="B5" s="17">
        <v>0.1</v>
      </c>
      <c r="C5" s="11" t="s">
        <v>338</v>
      </c>
      <c r="D5" s="11" t="s">
        <v>339</v>
      </c>
      <c r="E5" s="11" t="b">
        <v>1</v>
      </c>
      <c r="F5" s="18">
        <v>300.72085973832196</v>
      </c>
      <c r="G5" s="18">
        <v>300.72085973832196</v>
      </c>
      <c r="H5" s="18">
        <v>0</v>
      </c>
      <c r="I5" s="11">
        <v>300.72085973832202</v>
      </c>
      <c r="J5" s="11">
        <v>0</v>
      </c>
      <c r="K5" s="18">
        <v>0</v>
      </c>
      <c r="L5" s="11">
        <v>0</v>
      </c>
      <c r="M5" s="11">
        <v>0</v>
      </c>
      <c r="N5" s="11">
        <v>0</v>
      </c>
      <c r="O5" s="18">
        <v>264.73600006103516</v>
      </c>
      <c r="P5" s="11">
        <v>12493</v>
      </c>
      <c r="Q5" s="11" t="b">
        <v>1</v>
      </c>
      <c r="R5" s="11" t="b">
        <v>1</v>
      </c>
      <c r="S5" s="11">
        <v>0</v>
      </c>
      <c r="T5" s="11">
        <v>0</v>
      </c>
      <c r="U5" s="11">
        <v>0</v>
      </c>
      <c r="V5" s="11" t="b">
        <v>1</v>
      </c>
      <c r="W5" s="11">
        <v>7200</v>
      </c>
      <c r="X5" s="11">
        <v>1</v>
      </c>
      <c r="Y5" s="11">
        <v>1</v>
      </c>
      <c r="Z5" s="11">
        <v>1234</v>
      </c>
    </row>
    <row r="6" spans="1:26" ht="16.350000000000001" customHeight="1" x14ac:dyDescent="0.3">
      <c r="A6" s="11" t="s">
        <v>14</v>
      </c>
      <c r="B6" s="17">
        <v>0.1</v>
      </c>
      <c r="C6" s="11" t="s">
        <v>340</v>
      </c>
      <c r="D6" s="11" t="s">
        <v>339</v>
      </c>
      <c r="E6" s="11" t="b">
        <v>1</v>
      </c>
      <c r="F6" s="18">
        <v>344.83364949934276</v>
      </c>
      <c r="G6" s="18">
        <v>319.84415512340252</v>
      </c>
      <c r="H6" s="18">
        <v>7.2468259441101521</v>
      </c>
      <c r="I6" s="11">
        <v>344.83364956063866</v>
      </c>
      <c r="J6" s="11">
        <v>0</v>
      </c>
      <c r="K6" s="18">
        <v>0</v>
      </c>
      <c r="L6" s="11">
        <v>0</v>
      </c>
      <c r="M6" s="11">
        <v>0</v>
      </c>
      <c r="N6" s="11">
        <v>0</v>
      </c>
      <c r="O6" s="18">
        <v>7200.1180000305176</v>
      </c>
      <c r="P6" s="11">
        <v>152209</v>
      </c>
      <c r="Q6" s="11" t="b">
        <v>1</v>
      </c>
      <c r="R6" s="11" t="b">
        <v>1</v>
      </c>
      <c r="S6" s="11">
        <v>0</v>
      </c>
      <c r="T6" s="11">
        <v>0</v>
      </c>
      <c r="U6" s="11">
        <v>0</v>
      </c>
      <c r="V6" s="11" t="b">
        <v>1</v>
      </c>
      <c r="W6" s="11">
        <v>7200</v>
      </c>
      <c r="X6" s="11">
        <v>1</v>
      </c>
      <c r="Y6" s="11">
        <v>1</v>
      </c>
      <c r="Z6" s="11">
        <v>1234</v>
      </c>
    </row>
    <row r="7" spans="1:26" ht="16.350000000000001" customHeight="1" x14ac:dyDescent="0.3">
      <c r="A7" s="11" t="s">
        <v>15</v>
      </c>
      <c r="B7" s="17">
        <v>0.1</v>
      </c>
      <c r="C7" s="11" t="s">
        <v>340</v>
      </c>
      <c r="D7" s="11" t="s">
        <v>339</v>
      </c>
      <c r="E7" s="11" t="b">
        <v>1</v>
      </c>
      <c r="F7" s="18">
        <v>494.91943426552331</v>
      </c>
      <c r="G7" s="18">
        <v>448.54684218239635</v>
      </c>
      <c r="H7" s="18">
        <v>9.3697254285327087</v>
      </c>
      <c r="I7" s="11">
        <v>494.91943426552348</v>
      </c>
      <c r="J7" s="11">
        <v>0</v>
      </c>
      <c r="K7" s="18">
        <v>0</v>
      </c>
      <c r="L7" s="11">
        <v>0</v>
      </c>
      <c r="M7" s="11">
        <v>0</v>
      </c>
      <c r="N7" s="11">
        <v>0</v>
      </c>
      <c r="O7" s="18">
        <v>7200.1890001296997</v>
      </c>
      <c r="P7" s="11">
        <v>92431</v>
      </c>
      <c r="Q7" s="11" t="b">
        <v>1</v>
      </c>
      <c r="R7" s="11" t="b">
        <v>1</v>
      </c>
      <c r="S7" s="11">
        <v>0</v>
      </c>
      <c r="T7" s="11">
        <v>0</v>
      </c>
      <c r="U7" s="11">
        <v>0</v>
      </c>
      <c r="V7" s="11" t="b">
        <v>1</v>
      </c>
      <c r="W7" s="11">
        <v>7200</v>
      </c>
      <c r="X7" s="11">
        <v>1</v>
      </c>
      <c r="Y7" s="11">
        <v>1</v>
      </c>
      <c r="Z7" s="11">
        <v>1234</v>
      </c>
    </row>
    <row r="8" spans="1:26" ht="16.350000000000001" customHeight="1" x14ac:dyDescent="0.3">
      <c r="A8" s="11" t="s">
        <v>16</v>
      </c>
      <c r="B8" s="17">
        <v>0.1</v>
      </c>
      <c r="C8" s="11" t="s">
        <v>340</v>
      </c>
      <c r="D8" s="11" t="s">
        <v>339</v>
      </c>
      <c r="E8" s="11" t="b">
        <v>1</v>
      </c>
      <c r="F8" s="18">
        <v>588.97635581637815</v>
      </c>
      <c r="G8" s="18">
        <v>476.86408654471319</v>
      </c>
      <c r="H8" s="18">
        <v>19.035105257538991</v>
      </c>
      <c r="I8" s="11">
        <v>588.97635595649353</v>
      </c>
      <c r="J8" s="11">
        <v>0</v>
      </c>
      <c r="K8" s="18">
        <v>0</v>
      </c>
      <c r="L8" s="11">
        <v>0</v>
      </c>
      <c r="M8" s="11">
        <v>0</v>
      </c>
      <c r="N8" s="11">
        <v>0</v>
      </c>
      <c r="O8" s="18">
        <v>7200.1449999809265</v>
      </c>
      <c r="P8" s="11">
        <v>34566</v>
      </c>
      <c r="Q8" s="11" t="b">
        <v>1</v>
      </c>
      <c r="R8" s="11" t="b">
        <v>1</v>
      </c>
      <c r="S8" s="11">
        <v>0</v>
      </c>
      <c r="T8" s="11">
        <v>0</v>
      </c>
      <c r="U8" s="11">
        <v>0</v>
      </c>
      <c r="V8" s="11" t="b">
        <v>1</v>
      </c>
      <c r="W8" s="11">
        <v>7200</v>
      </c>
      <c r="X8" s="11">
        <v>1</v>
      </c>
      <c r="Y8" s="11">
        <v>1</v>
      </c>
      <c r="Z8" s="11">
        <v>1234</v>
      </c>
    </row>
    <row r="9" spans="1:26" ht="16.350000000000001" customHeight="1" x14ac:dyDescent="0.3">
      <c r="A9" s="11" t="s">
        <v>17</v>
      </c>
      <c r="B9" s="17">
        <v>0.1</v>
      </c>
      <c r="C9" s="11" t="s">
        <v>338</v>
      </c>
      <c r="D9" s="11" t="s">
        <v>339</v>
      </c>
      <c r="E9" s="11" t="b">
        <v>1</v>
      </c>
      <c r="F9" s="18">
        <v>285.9871658305542</v>
      </c>
      <c r="G9" s="18">
        <v>285.98716583055426</v>
      </c>
      <c r="H9" s="18">
        <v>1.9876213219472731E-14</v>
      </c>
      <c r="I9" s="11">
        <v>285.98716583055426</v>
      </c>
      <c r="J9" s="11">
        <v>0</v>
      </c>
      <c r="K9" s="18">
        <v>0</v>
      </c>
      <c r="L9" s="11">
        <v>0</v>
      </c>
      <c r="M9" s="11">
        <v>0</v>
      </c>
      <c r="N9" s="11">
        <v>0</v>
      </c>
      <c r="O9" s="18">
        <v>2546.3129999637604</v>
      </c>
      <c r="P9" s="11">
        <v>171018</v>
      </c>
      <c r="Q9" s="11" t="b">
        <v>1</v>
      </c>
      <c r="R9" s="11" t="b">
        <v>1</v>
      </c>
      <c r="S9" s="11">
        <v>0</v>
      </c>
      <c r="T9" s="11">
        <v>0</v>
      </c>
      <c r="U9" s="11">
        <v>0</v>
      </c>
      <c r="V9" s="11" t="b">
        <v>1</v>
      </c>
      <c r="W9" s="11">
        <v>7200</v>
      </c>
      <c r="X9" s="11">
        <v>1</v>
      </c>
      <c r="Y9" s="11">
        <v>1</v>
      </c>
      <c r="Z9" s="11">
        <v>1234</v>
      </c>
    </row>
    <row r="10" spans="1:26" ht="16.350000000000001" customHeight="1" x14ac:dyDescent="0.3">
      <c r="A10" s="11" t="s">
        <v>18</v>
      </c>
      <c r="B10" s="17">
        <v>0.1</v>
      </c>
      <c r="C10" s="11" t="s">
        <v>340</v>
      </c>
      <c r="D10" s="11" t="s">
        <v>339</v>
      </c>
      <c r="E10" s="11" t="b">
        <v>1</v>
      </c>
      <c r="F10" s="18">
        <v>375.01962414259242</v>
      </c>
      <c r="G10" s="18">
        <v>350.97333320818694</v>
      </c>
      <c r="H10" s="18">
        <v>6.4120087020466006</v>
      </c>
      <c r="I10" s="11">
        <v>375.01962414259242</v>
      </c>
      <c r="J10" s="11">
        <v>0</v>
      </c>
      <c r="K10" s="18">
        <v>0</v>
      </c>
      <c r="L10" s="11">
        <v>0</v>
      </c>
      <c r="M10" s="11">
        <v>0</v>
      </c>
      <c r="N10" s="11">
        <v>0</v>
      </c>
      <c r="O10" s="18">
        <v>7200.2080001831055</v>
      </c>
      <c r="P10" s="11">
        <v>148913</v>
      </c>
      <c r="Q10" s="11" t="b">
        <v>1</v>
      </c>
      <c r="R10" s="11" t="b">
        <v>1</v>
      </c>
      <c r="S10" s="11">
        <v>0</v>
      </c>
      <c r="T10" s="11">
        <v>0</v>
      </c>
      <c r="U10" s="11">
        <v>0</v>
      </c>
      <c r="V10" s="11" t="b">
        <v>1</v>
      </c>
      <c r="W10" s="11">
        <v>7200</v>
      </c>
      <c r="X10" s="11">
        <v>1</v>
      </c>
      <c r="Y10" s="11">
        <v>1</v>
      </c>
      <c r="Z10" s="11">
        <v>1234</v>
      </c>
    </row>
    <row r="11" spans="1:26" ht="16.350000000000001" customHeight="1" x14ac:dyDescent="0.3">
      <c r="A11" s="11" t="s">
        <v>19</v>
      </c>
      <c r="B11" s="17">
        <v>0.1</v>
      </c>
      <c r="C11" s="11" t="s">
        <v>340</v>
      </c>
      <c r="D11" s="11" t="s">
        <v>339</v>
      </c>
      <c r="E11" s="11" t="b">
        <v>1</v>
      </c>
      <c r="F11" s="18">
        <v>493.91580917946339</v>
      </c>
      <c r="G11" s="18">
        <v>364.12709956920025</v>
      </c>
      <c r="H11" s="18">
        <v>26.277496528381956</v>
      </c>
      <c r="I11" s="11">
        <v>493.91580917946339</v>
      </c>
      <c r="J11" s="11">
        <v>0</v>
      </c>
      <c r="K11" s="18">
        <v>0</v>
      </c>
      <c r="L11" s="11">
        <v>0</v>
      </c>
      <c r="M11" s="11">
        <v>0</v>
      </c>
      <c r="N11" s="11">
        <v>0</v>
      </c>
      <c r="O11" s="18">
        <v>7200.2329998016357</v>
      </c>
      <c r="P11" s="11">
        <v>30436</v>
      </c>
      <c r="Q11" s="11" t="b">
        <v>1</v>
      </c>
      <c r="R11" s="11" t="b">
        <v>1</v>
      </c>
      <c r="S11" s="11">
        <v>0</v>
      </c>
      <c r="T11" s="11">
        <v>0</v>
      </c>
      <c r="U11" s="11">
        <v>0</v>
      </c>
      <c r="V11" s="11" t="b">
        <v>1</v>
      </c>
      <c r="W11" s="11">
        <v>7200</v>
      </c>
      <c r="X11" s="11">
        <v>1</v>
      </c>
      <c r="Y11" s="11">
        <v>1</v>
      </c>
      <c r="Z11" s="11">
        <v>1234</v>
      </c>
    </row>
    <row r="12" spans="1:26" ht="16.350000000000001" customHeight="1" x14ac:dyDescent="0.3">
      <c r="A12" s="11" t="s">
        <v>20</v>
      </c>
      <c r="B12" s="17">
        <v>0.1</v>
      </c>
      <c r="C12" s="11" t="s">
        <v>340</v>
      </c>
      <c r="D12" s="11" t="s">
        <v>341</v>
      </c>
      <c r="E12" s="11" t="b">
        <v>0</v>
      </c>
      <c r="F12" s="18" t="s">
        <v>142</v>
      </c>
      <c r="G12" s="18">
        <v>403.90205765366596</v>
      </c>
      <c r="H12" s="18" t="s">
        <v>142</v>
      </c>
      <c r="I12" s="11" t="s">
        <v>142</v>
      </c>
      <c r="J12" s="11" t="s">
        <v>142</v>
      </c>
      <c r="K12" s="18" t="s">
        <v>142</v>
      </c>
      <c r="L12" s="11" t="s">
        <v>142</v>
      </c>
      <c r="M12" s="11" t="s">
        <v>142</v>
      </c>
      <c r="N12" s="11" t="s">
        <v>142</v>
      </c>
      <c r="O12" s="18">
        <v>7200.2560000419617</v>
      </c>
      <c r="P12" s="11">
        <v>33149</v>
      </c>
      <c r="Q12" s="11" t="s">
        <v>142</v>
      </c>
      <c r="R12" s="11" t="s">
        <v>142</v>
      </c>
      <c r="S12" s="11" t="s">
        <v>142</v>
      </c>
      <c r="T12" s="11" t="s">
        <v>142</v>
      </c>
      <c r="U12" s="11" t="s">
        <v>142</v>
      </c>
      <c r="V12" s="11" t="s">
        <v>142</v>
      </c>
      <c r="W12" s="11">
        <v>7200</v>
      </c>
      <c r="X12" s="11">
        <v>1</v>
      </c>
      <c r="Y12" s="11">
        <v>1</v>
      </c>
      <c r="Z12" s="11">
        <v>1234</v>
      </c>
    </row>
    <row r="13" spans="1:26" ht="16.350000000000001" customHeight="1" x14ac:dyDescent="0.3">
      <c r="A13" s="11" t="s">
        <v>21</v>
      </c>
      <c r="B13" s="17">
        <v>0.1</v>
      </c>
      <c r="C13" s="11" t="s">
        <v>340</v>
      </c>
      <c r="D13" s="11" t="s">
        <v>341</v>
      </c>
      <c r="E13" s="11" t="b">
        <v>0</v>
      </c>
      <c r="F13" s="18" t="s">
        <v>142</v>
      </c>
      <c r="G13" s="18">
        <v>383.72292192500345</v>
      </c>
      <c r="H13" s="18" t="s">
        <v>142</v>
      </c>
      <c r="I13" s="11" t="s">
        <v>142</v>
      </c>
      <c r="J13" s="11" t="s">
        <v>142</v>
      </c>
      <c r="K13" s="18" t="s">
        <v>142</v>
      </c>
      <c r="L13" s="11" t="s">
        <v>142</v>
      </c>
      <c r="M13" s="11" t="s">
        <v>142</v>
      </c>
      <c r="N13" s="11" t="s">
        <v>142</v>
      </c>
      <c r="O13" s="18">
        <v>7200.2329998016357</v>
      </c>
      <c r="P13" s="11">
        <v>13616</v>
      </c>
      <c r="Q13" s="11" t="s">
        <v>142</v>
      </c>
      <c r="R13" s="11" t="s">
        <v>142</v>
      </c>
      <c r="S13" s="11" t="s">
        <v>142</v>
      </c>
      <c r="T13" s="11" t="s">
        <v>142</v>
      </c>
      <c r="U13" s="11" t="s">
        <v>142</v>
      </c>
      <c r="V13" s="11" t="s">
        <v>142</v>
      </c>
      <c r="W13" s="11">
        <v>7200</v>
      </c>
      <c r="X13" s="11">
        <v>1</v>
      </c>
      <c r="Y13" s="11">
        <v>1</v>
      </c>
      <c r="Z13" s="11">
        <v>1234</v>
      </c>
    </row>
    <row r="14" spans="1:26" ht="16.350000000000001" customHeight="1" x14ac:dyDescent="0.3">
      <c r="A14" s="11" t="s">
        <v>22</v>
      </c>
      <c r="B14" s="17">
        <v>0.1</v>
      </c>
      <c r="C14" s="11" t="s">
        <v>340</v>
      </c>
      <c r="D14" s="11" t="s">
        <v>339</v>
      </c>
      <c r="E14" s="11" t="b">
        <v>1</v>
      </c>
      <c r="F14" s="18">
        <v>548.77327656220518</v>
      </c>
      <c r="G14" s="18">
        <v>347.45840708070193</v>
      </c>
      <c r="H14" s="18">
        <v>36.684524935806273</v>
      </c>
      <c r="I14" s="11">
        <v>548.77327656220518</v>
      </c>
      <c r="J14" s="11">
        <v>0</v>
      </c>
      <c r="K14" s="18">
        <v>0</v>
      </c>
      <c r="L14" s="11">
        <v>0</v>
      </c>
      <c r="M14" s="11">
        <v>0</v>
      </c>
      <c r="N14" s="11">
        <v>0</v>
      </c>
      <c r="O14" s="18">
        <v>7200.2269999980927</v>
      </c>
      <c r="P14" s="11">
        <v>16995</v>
      </c>
      <c r="Q14" s="11" t="b">
        <v>1</v>
      </c>
      <c r="R14" s="11" t="b">
        <v>1</v>
      </c>
      <c r="S14" s="11">
        <v>0</v>
      </c>
      <c r="T14" s="11">
        <v>0</v>
      </c>
      <c r="U14" s="11">
        <v>0</v>
      </c>
      <c r="V14" s="11" t="b">
        <v>1</v>
      </c>
      <c r="W14" s="11">
        <v>7200</v>
      </c>
      <c r="X14" s="11">
        <v>1</v>
      </c>
      <c r="Y14" s="11">
        <v>1</v>
      </c>
      <c r="Z14" s="11">
        <v>1234</v>
      </c>
    </row>
    <row r="15" spans="1:26" ht="16.350000000000001" customHeight="1" x14ac:dyDescent="0.3">
      <c r="A15" s="11" t="s">
        <v>23</v>
      </c>
      <c r="B15" s="17">
        <v>0.1</v>
      </c>
      <c r="C15" s="11" t="s">
        <v>340</v>
      </c>
      <c r="D15" s="11" t="s">
        <v>341</v>
      </c>
      <c r="E15" s="11" t="b">
        <v>0</v>
      </c>
      <c r="F15" s="18" t="s">
        <v>142</v>
      </c>
      <c r="G15" s="18">
        <v>405.46329837216069</v>
      </c>
      <c r="H15" s="18" t="s">
        <v>142</v>
      </c>
      <c r="I15" s="11" t="s">
        <v>142</v>
      </c>
      <c r="J15" s="11" t="s">
        <v>142</v>
      </c>
      <c r="K15" s="18" t="s">
        <v>142</v>
      </c>
      <c r="L15" s="11" t="s">
        <v>142</v>
      </c>
      <c r="M15" s="11" t="s">
        <v>142</v>
      </c>
      <c r="N15" s="11" t="s">
        <v>142</v>
      </c>
      <c r="O15" s="18">
        <v>7200.3280000686646</v>
      </c>
      <c r="P15" s="11">
        <v>3391</v>
      </c>
      <c r="Q15" s="11" t="s">
        <v>142</v>
      </c>
      <c r="R15" s="11" t="s">
        <v>142</v>
      </c>
      <c r="S15" s="11" t="s">
        <v>142</v>
      </c>
      <c r="T15" s="11" t="s">
        <v>142</v>
      </c>
      <c r="U15" s="11" t="s">
        <v>142</v>
      </c>
      <c r="V15" s="11" t="s">
        <v>142</v>
      </c>
      <c r="W15" s="11">
        <v>7200</v>
      </c>
      <c r="X15" s="11">
        <v>1</v>
      </c>
      <c r="Y15" s="11">
        <v>1</v>
      </c>
      <c r="Z15" s="11">
        <v>1234</v>
      </c>
    </row>
    <row r="16" spans="1:26" ht="16.350000000000001" customHeight="1" x14ac:dyDescent="0.3">
      <c r="A16" s="11" t="s">
        <v>10</v>
      </c>
      <c r="B16" s="17">
        <v>0.4</v>
      </c>
      <c r="C16" s="11" t="s">
        <v>338</v>
      </c>
      <c r="D16" s="11" t="s">
        <v>339</v>
      </c>
      <c r="E16" s="11" t="b">
        <v>1</v>
      </c>
      <c r="F16" s="18">
        <v>295.19396850691851</v>
      </c>
      <c r="G16" s="18">
        <v>295.19396850691851</v>
      </c>
      <c r="H16" s="18">
        <v>0</v>
      </c>
      <c r="I16" s="11">
        <v>295.1939685069184</v>
      </c>
      <c r="J16" s="11">
        <v>0</v>
      </c>
      <c r="K16" s="18">
        <v>0</v>
      </c>
      <c r="L16" s="11">
        <v>0</v>
      </c>
      <c r="M16" s="11">
        <v>0</v>
      </c>
      <c r="N16" s="11">
        <v>0</v>
      </c>
      <c r="O16" s="18">
        <v>40.930999994277954</v>
      </c>
      <c r="P16" s="11">
        <v>6068</v>
      </c>
      <c r="Q16" s="11" t="b">
        <v>1</v>
      </c>
      <c r="R16" s="11" t="b">
        <v>1</v>
      </c>
      <c r="S16" s="11">
        <v>0</v>
      </c>
      <c r="T16" s="11">
        <v>0</v>
      </c>
      <c r="U16" s="11">
        <v>0</v>
      </c>
      <c r="V16" s="11" t="b">
        <v>1</v>
      </c>
      <c r="W16" s="11">
        <v>7200</v>
      </c>
      <c r="X16" s="11">
        <v>1</v>
      </c>
      <c r="Y16" s="11">
        <v>1</v>
      </c>
      <c r="Z16" s="11">
        <v>1234</v>
      </c>
    </row>
    <row r="17" spans="1:26" ht="16.350000000000001" customHeight="1" x14ac:dyDescent="0.3">
      <c r="A17" s="11" t="s">
        <v>11</v>
      </c>
      <c r="B17" s="17">
        <v>0.4</v>
      </c>
      <c r="C17" s="11" t="s">
        <v>338</v>
      </c>
      <c r="D17" s="11" t="s">
        <v>339</v>
      </c>
      <c r="E17" s="11" t="b">
        <v>1</v>
      </c>
      <c r="F17" s="18">
        <v>398.48618831805538</v>
      </c>
      <c r="G17" s="18">
        <v>398.48618831805538</v>
      </c>
      <c r="H17" s="18">
        <v>0</v>
      </c>
      <c r="I17" s="11">
        <v>352.08807848552141</v>
      </c>
      <c r="J17" s="11">
        <v>15.185032766763488</v>
      </c>
      <c r="K17" s="18">
        <v>28.375524605245953</v>
      </c>
      <c r="L17" s="11">
        <v>0</v>
      </c>
      <c r="M17" s="11">
        <v>28.375524605245971</v>
      </c>
      <c r="N17" s="11">
        <v>2.8375524605245972</v>
      </c>
      <c r="O17" s="18">
        <v>1071.9730000495911</v>
      </c>
      <c r="P17" s="11">
        <v>125882</v>
      </c>
      <c r="Q17" s="11" t="b">
        <v>1</v>
      </c>
      <c r="R17" s="11" t="b">
        <v>1</v>
      </c>
      <c r="S17" s="11">
        <v>0</v>
      </c>
      <c r="T17" s="11">
        <v>0</v>
      </c>
      <c r="U17" s="11">
        <v>0</v>
      </c>
      <c r="V17" s="11" t="b">
        <v>1</v>
      </c>
      <c r="W17" s="11">
        <v>7200</v>
      </c>
      <c r="X17" s="11">
        <v>1</v>
      </c>
      <c r="Y17" s="11">
        <v>1</v>
      </c>
      <c r="Z17" s="11">
        <v>1234</v>
      </c>
    </row>
    <row r="18" spans="1:26" ht="16.350000000000001" customHeight="1" x14ac:dyDescent="0.3">
      <c r="A18" s="11" t="s">
        <v>12</v>
      </c>
      <c r="B18" s="17">
        <v>0.4</v>
      </c>
      <c r="C18" s="11" t="s">
        <v>340</v>
      </c>
      <c r="D18" s="11" t="s">
        <v>339</v>
      </c>
      <c r="E18" s="11" t="b">
        <v>1</v>
      </c>
      <c r="F18" s="18">
        <v>587.45708100770844</v>
      </c>
      <c r="G18" s="18">
        <v>569.15309013436399</v>
      </c>
      <c r="H18" s="18">
        <v>3.1158005350699427</v>
      </c>
      <c r="I18" s="11">
        <v>442.19932950380223</v>
      </c>
      <c r="J18" s="11">
        <v>15.185032766763488</v>
      </c>
      <c r="K18" s="18">
        <v>118.19932920634002</v>
      </c>
      <c r="L18" s="11">
        <v>-1.9720744148798985E-7</v>
      </c>
      <c r="M18" s="11">
        <v>118.73391502877223</v>
      </c>
      <c r="N18" s="11">
        <v>11.873391502877224</v>
      </c>
      <c r="O18" s="18">
        <v>7200.2219998836517</v>
      </c>
      <c r="P18" s="11">
        <v>434690</v>
      </c>
      <c r="Q18" s="11" t="b">
        <v>1</v>
      </c>
      <c r="R18" s="11" t="b">
        <v>1</v>
      </c>
      <c r="S18" s="11">
        <v>0</v>
      </c>
      <c r="T18" s="11">
        <v>0</v>
      </c>
      <c r="U18" s="11">
        <v>0</v>
      </c>
      <c r="V18" s="11" t="b">
        <v>1</v>
      </c>
      <c r="W18" s="11">
        <v>7200</v>
      </c>
      <c r="X18" s="11">
        <v>1</v>
      </c>
      <c r="Y18" s="11">
        <v>1</v>
      </c>
      <c r="Z18" s="11">
        <v>1234</v>
      </c>
    </row>
    <row r="19" spans="1:26" ht="16.350000000000001" customHeight="1" x14ac:dyDescent="0.3">
      <c r="A19" s="11" t="s">
        <v>13</v>
      </c>
      <c r="B19" s="17">
        <v>0.4</v>
      </c>
      <c r="C19" s="11" t="s">
        <v>338</v>
      </c>
      <c r="D19" s="11" t="s">
        <v>339</v>
      </c>
      <c r="E19" s="11" t="b">
        <v>1</v>
      </c>
      <c r="F19" s="18">
        <v>300.72085973832196</v>
      </c>
      <c r="G19" s="18">
        <v>300.72085973832196</v>
      </c>
      <c r="H19" s="18">
        <v>0</v>
      </c>
      <c r="I19" s="11">
        <v>300.72085973832196</v>
      </c>
      <c r="J19" s="11">
        <v>0</v>
      </c>
      <c r="K19" s="18">
        <v>0</v>
      </c>
      <c r="L19" s="11">
        <v>0</v>
      </c>
      <c r="M19" s="11">
        <v>0</v>
      </c>
      <c r="N19" s="11">
        <v>0</v>
      </c>
      <c r="O19" s="18">
        <v>174.01600003242493</v>
      </c>
      <c r="P19" s="11">
        <v>8745</v>
      </c>
      <c r="Q19" s="11" t="b">
        <v>1</v>
      </c>
      <c r="R19" s="11" t="b">
        <v>1</v>
      </c>
      <c r="S19" s="11">
        <v>0</v>
      </c>
      <c r="T19" s="11">
        <v>0</v>
      </c>
      <c r="U19" s="11">
        <v>0</v>
      </c>
      <c r="V19" s="11" t="b">
        <v>1</v>
      </c>
      <c r="W19" s="11">
        <v>7200</v>
      </c>
      <c r="X19" s="11">
        <v>1</v>
      </c>
      <c r="Y19" s="11">
        <v>1</v>
      </c>
      <c r="Z19" s="11">
        <v>1234</v>
      </c>
    </row>
    <row r="20" spans="1:26" ht="16.350000000000001" customHeight="1" x14ac:dyDescent="0.3">
      <c r="A20" s="11" t="s">
        <v>14</v>
      </c>
      <c r="B20" s="17">
        <v>0.4</v>
      </c>
      <c r="C20" s="11" t="s">
        <v>340</v>
      </c>
      <c r="D20" s="11" t="s">
        <v>339</v>
      </c>
      <c r="E20" s="11" t="b">
        <v>1</v>
      </c>
      <c r="F20" s="18">
        <v>344.83364956063866</v>
      </c>
      <c r="G20" s="18">
        <v>326.51295700029078</v>
      </c>
      <c r="H20" s="18">
        <v>5.3129074217933026</v>
      </c>
      <c r="I20" s="11">
        <v>344.83364956063883</v>
      </c>
      <c r="J20" s="11">
        <v>0</v>
      </c>
      <c r="K20" s="18">
        <v>0</v>
      </c>
      <c r="L20" s="11">
        <v>0</v>
      </c>
      <c r="M20" s="11">
        <v>0</v>
      </c>
      <c r="N20" s="11">
        <v>0</v>
      </c>
      <c r="O20" s="18">
        <v>7200.0950000286102</v>
      </c>
      <c r="P20" s="11">
        <v>234223</v>
      </c>
      <c r="Q20" s="11" t="b">
        <v>1</v>
      </c>
      <c r="R20" s="11" t="b">
        <v>1</v>
      </c>
      <c r="S20" s="11">
        <v>0</v>
      </c>
      <c r="T20" s="11">
        <v>0</v>
      </c>
      <c r="U20" s="11">
        <v>0</v>
      </c>
      <c r="V20" s="11" t="b">
        <v>1</v>
      </c>
      <c r="W20" s="11">
        <v>7200</v>
      </c>
      <c r="X20" s="11">
        <v>1</v>
      </c>
      <c r="Y20" s="11">
        <v>1</v>
      </c>
      <c r="Z20" s="11">
        <v>1234</v>
      </c>
    </row>
    <row r="21" spans="1:26" ht="16.350000000000001" customHeight="1" x14ac:dyDescent="0.3">
      <c r="A21" s="11" t="s">
        <v>15</v>
      </c>
      <c r="B21" s="17">
        <v>0.4</v>
      </c>
      <c r="C21" s="11" t="s">
        <v>340</v>
      </c>
      <c r="D21" s="11" t="s">
        <v>339</v>
      </c>
      <c r="E21" s="11" t="b">
        <v>1</v>
      </c>
      <c r="F21" s="18">
        <v>568.76714392384031</v>
      </c>
      <c r="G21" s="18">
        <v>441.39142243690134</v>
      </c>
      <c r="H21" s="18">
        <v>22.395056192626164</v>
      </c>
      <c r="I21" s="11">
        <v>510.73833908469373</v>
      </c>
      <c r="J21" s="11">
        <v>19.39634913454163</v>
      </c>
      <c r="K21" s="18">
        <v>26.112753014623252</v>
      </c>
      <c r="L21" s="11">
        <v>0</v>
      </c>
      <c r="M21" s="11">
        <v>125.19702689981779</v>
      </c>
      <c r="N21" s="11">
        <v>12.519702689981779</v>
      </c>
      <c r="O21" s="18">
        <v>7200.2650001049042</v>
      </c>
      <c r="P21" s="11">
        <v>82529</v>
      </c>
      <c r="Q21" s="11" t="b">
        <v>1</v>
      </c>
      <c r="R21" s="11" t="b">
        <v>1</v>
      </c>
      <c r="S21" s="11">
        <v>0</v>
      </c>
      <c r="T21" s="11">
        <v>0</v>
      </c>
      <c r="U21" s="11">
        <v>0</v>
      </c>
      <c r="V21" s="11" t="b">
        <v>1</v>
      </c>
      <c r="W21" s="11">
        <v>7200</v>
      </c>
      <c r="X21" s="11">
        <v>1</v>
      </c>
      <c r="Y21" s="11">
        <v>1</v>
      </c>
      <c r="Z21" s="11">
        <v>1234</v>
      </c>
    </row>
    <row r="22" spans="1:26" ht="16.350000000000001" customHeight="1" x14ac:dyDescent="0.3">
      <c r="A22" s="11" t="s">
        <v>16</v>
      </c>
      <c r="B22" s="17">
        <v>0.4</v>
      </c>
      <c r="C22" s="11" t="s">
        <v>340</v>
      </c>
      <c r="D22" s="11" t="s">
        <v>341</v>
      </c>
      <c r="E22" s="11" t="b">
        <v>0</v>
      </c>
      <c r="F22" s="18" t="s">
        <v>142</v>
      </c>
      <c r="G22" s="18">
        <v>472.01815439914827</v>
      </c>
      <c r="H22" s="18" t="s">
        <v>142</v>
      </c>
      <c r="I22" s="11" t="s">
        <v>142</v>
      </c>
      <c r="J22" s="11" t="s">
        <v>142</v>
      </c>
      <c r="K22" s="18" t="s">
        <v>142</v>
      </c>
      <c r="L22" s="11" t="s">
        <v>142</v>
      </c>
      <c r="M22" s="11" t="s">
        <v>142</v>
      </c>
      <c r="N22" s="11" t="s">
        <v>142</v>
      </c>
      <c r="O22" s="18">
        <v>7200.1790001392365</v>
      </c>
      <c r="P22" s="11">
        <v>50935</v>
      </c>
      <c r="Q22" s="11" t="s">
        <v>142</v>
      </c>
      <c r="R22" s="11" t="s">
        <v>142</v>
      </c>
      <c r="S22" s="11" t="s">
        <v>142</v>
      </c>
      <c r="T22" s="11" t="s">
        <v>142</v>
      </c>
      <c r="U22" s="11" t="s">
        <v>142</v>
      </c>
      <c r="V22" s="11" t="s">
        <v>142</v>
      </c>
      <c r="W22" s="11">
        <v>7200</v>
      </c>
      <c r="X22" s="11">
        <v>1</v>
      </c>
      <c r="Y22" s="11">
        <v>1</v>
      </c>
      <c r="Z22" s="11">
        <v>1234</v>
      </c>
    </row>
    <row r="23" spans="1:26" ht="16.350000000000001" customHeight="1" x14ac:dyDescent="0.3">
      <c r="A23" s="11" t="s">
        <v>17</v>
      </c>
      <c r="B23" s="17">
        <v>0.4</v>
      </c>
      <c r="C23" s="11" t="s">
        <v>338</v>
      </c>
      <c r="D23" s="11" t="s">
        <v>339</v>
      </c>
      <c r="E23" s="11" t="b">
        <v>1</v>
      </c>
      <c r="F23" s="18">
        <v>285.98716583055426</v>
      </c>
      <c r="G23" s="18">
        <v>285.98716583055523</v>
      </c>
      <c r="H23" s="18">
        <v>3.3789562473103635E-13</v>
      </c>
      <c r="I23" s="11">
        <v>285.98716583055426</v>
      </c>
      <c r="J23" s="11">
        <v>0</v>
      </c>
      <c r="K23" s="18">
        <v>0</v>
      </c>
      <c r="L23" s="11">
        <v>0</v>
      </c>
      <c r="M23" s="11">
        <v>0</v>
      </c>
      <c r="N23" s="11">
        <v>0</v>
      </c>
      <c r="O23" s="18">
        <v>1441.085000038147</v>
      </c>
      <c r="P23" s="11">
        <v>69214</v>
      </c>
      <c r="Q23" s="11" t="b">
        <v>1</v>
      </c>
      <c r="R23" s="11" t="b">
        <v>1</v>
      </c>
      <c r="S23" s="11">
        <v>0</v>
      </c>
      <c r="T23" s="11">
        <v>0</v>
      </c>
      <c r="U23" s="11">
        <v>0</v>
      </c>
      <c r="V23" s="11" t="b">
        <v>1</v>
      </c>
      <c r="W23" s="11">
        <v>7200</v>
      </c>
      <c r="X23" s="11">
        <v>1</v>
      </c>
      <c r="Y23" s="11">
        <v>1</v>
      </c>
      <c r="Z23" s="11">
        <v>1234</v>
      </c>
    </row>
    <row r="24" spans="1:26" ht="16.350000000000001" customHeight="1" x14ac:dyDescent="0.3">
      <c r="A24" s="11" t="s">
        <v>18</v>
      </c>
      <c r="B24" s="17">
        <v>0.4</v>
      </c>
      <c r="C24" s="11" t="s">
        <v>340</v>
      </c>
      <c r="D24" s="11" t="s">
        <v>339</v>
      </c>
      <c r="E24" s="11" t="b">
        <v>1</v>
      </c>
      <c r="F24" s="18">
        <v>375.01962414259242</v>
      </c>
      <c r="G24" s="18">
        <v>352.07793329573383</v>
      </c>
      <c r="H24" s="18">
        <v>6.1174640925285422</v>
      </c>
      <c r="I24" s="11">
        <v>375.01962414259242</v>
      </c>
      <c r="J24" s="11">
        <v>0</v>
      </c>
      <c r="K24" s="18">
        <v>0</v>
      </c>
      <c r="L24" s="11">
        <v>0</v>
      </c>
      <c r="M24" s="11">
        <v>0</v>
      </c>
      <c r="N24" s="11">
        <v>0</v>
      </c>
      <c r="O24" s="18">
        <v>7200.2110002040863</v>
      </c>
      <c r="P24" s="11">
        <v>154052</v>
      </c>
      <c r="Q24" s="11" t="b">
        <v>1</v>
      </c>
      <c r="R24" s="11" t="b">
        <v>1</v>
      </c>
      <c r="S24" s="11">
        <v>0</v>
      </c>
      <c r="T24" s="11">
        <v>0</v>
      </c>
      <c r="U24" s="11">
        <v>0</v>
      </c>
      <c r="V24" s="11" t="b">
        <v>1</v>
      </c>
      <c r="W24" s="11">
        <v>7200</v>
      </c>
      <c r="X24" s="11">
        <v>1</v>
      </c>
      <c r="Y24" s="11">
        <v>1</v>
      </c>
      <c r="Z24" s="11">
        <v>1234</v>
      </c>
    </row>
    <row r="25" spans="1:26" ht="16.350000000000001" customHeight="1" x14ac:dyDescent="0.3">
      <c r="A25" s="11" t="s">
        <v>19</v>
      </c>
      <c r="B25" s="17">
        <v>0.4</v>
      </c>
      <c r="C25" s="11" t="s">
        <v>340</v>
      </c>
      <c r="D25" s="11" t="s">
        <v>339</v>
      </c>
      <c r="E25" s="11" t="b">
        <v>1</v>
      </c>
      <c r="F25" s="18">
        <v>517.90513976305328</v>
      </c>
      <c r="G25" s="18">
        <v>363.05357871558164</v>
      </c>
      <c r="H25" s="18">
        <v>29.899599204270835</v>
      </c>
      <c r="I25" s="11">
        <v>517.90513976305328</v>
      </c>
      <c r="J25" s="11">
        <v>0</v>
      </c>
      <c r="K25" s="18">
        <v>0</v>
      </c>
      <c r="L25" s="11">
        <v>0</v>
      </c>
      <c r="M25" s="11">
        <v>0</v>
      </c>
      <c r="N25" s="11">
        <v>0</v>
      </c>
      <c r="O25" s="18">
        <v>7200.300999879837</v>
      </c>
      <c r="P25" s="11">
        <v>29628</v>
      </c>
      <c r="Q25" s="11" t="b">
        <v>1</v>
      </c>
      <c r="R25" s="11" t="b">
        <v>1</v>
      </c>
      <c r="S25" s="11">
        <v>0</v>
      </c>
      <c r="T25" s="11">
        <v>0</v>
      </c>
      <c r="U25" s="11">
        <v>0</v>
      </c>
      <c r="V25" s="11" t="b">
        <v>1</v>
      </c>
      <c r="W25" s="11">
        <v>7200</v>
      </c>
      <c r="X25" s="11">
        <v>1</v>
      </c>
      <c r="Y25" s="11">
        <v>1</v>
      </c>
      <c r="Z25" s="11">
        <v>1234</v>
      </c>
    </row>
    <row r="26" spans="1:26" ht="16.350000000000001" customHeight="1" x14ac:dyDescent="0.3">
      <c r="A26" s="11" t="s">
        <v>20</v>
      </c>
      <c r="B26" s="17">
        <v>0.4</v>
      </c>
      <c r="C26" s="11" t="s">
        <v>340</v>
      </c>
      <c r="D26" s="11" t="s">
        <v>339</v>
      </c>
      <c r="E26" s="11" t="b">
        <v>1</v>
      </c>
      <c r="F26" s="18">
        <v>763.72282763170824</v>
      </c>
      <c r="G26" s="18">
        <v>406.28972582539535</v>
      </c>
      <c r="H26" s="18">
        <v>46.801416544626143</v>
      </c>
      <c r="I26" s="11">
        <v>671.59174932400197</v>
      </c>
      <c r="J26" s="11">
        <v>19.39634913454163</v>
      </c>
      <c r="K26" s="18">
        <v>43.286867504071445</v>
      </c>
      <c r="L26" s="11">
        <v>0</v>
      </c>
      <c r="M26" s="11">
        <v>294.4786166909318</v>
      </c>
      <c r="N26" s="11">
        <v>29.447861669093182</v>
      </c>
      <c r="O26" s="18">
        <v>7200.3810000419617</v>
      </c>
      <c r="P26" s="11">
        <v>29234</v>
      </c>
      <c r="Q26" s="11" t="b">
        <v>1</v>
      </c>
      <c r="R26" s="11" t="b">
        <v>1</v>
      </c>
      <c r="S26" s="11">
        <v>0</v>
      </c>
      <c r="T26" s="11">
        <v>0</v>
      </c>
      <c r="U26" s="11">
        <v>0</v>
      </c>
      <c r="V26" s="11" t="b">
        <v>1</v>
      </c>
      <c r="W26" s="11">
        <v>7200</v>
      </c>
      <c r="X26" s="11">
        <v>1</v>
      </c>
      <c r="Y26" s="11">
        <v>1</v>
      </c>
      <c r="Z26" s="11">
        <v>1234</v>
      </c>
    </row>
    <row r="27" spans="1:26" ht="16.350000000000001" customHeight="1" x14ac:dyDescent="0.3">
      <c r="A27" s="11" t="s">
        <v>21</v>
      </c>
      <c r="B27" s="17">
        <v>0.4</v>
      </c>
      <c r="C27" s="11" t="s">
        <v>340</v>
      </c>
      <c r="D27" s="11" t="s">
        <v>341</v>
      </c>
      <c r="E27" s="11" t="b">
        <v>0</v>
      </c>
      <c r="F27" s="18" t="s">
        <v>142</v>
      </c>
      <c r="G27" s="18">
        <v>400.4197581391802</v>
      </c>
      <c r="H27" s="18" t="s">
        <v>142</v>
      </c>
      <c r="I27" s="11" t="s">
        <v>142</v>
      </c>
      <c r="J27" s="11" t="s">
        <v>142</v>
      </c>
      <c r="K27" s="18" t="s">
        <v>142</v>
      </c>
      <c r="L27" s="11" t="s">
        <v>142</v>
      </c>
      <c r="M27" s="11" t="s">
        <v>142</v>
      </c>
      <c r="N27" s="11" t="s">
        <v>142</v>
      </c>
      <c r="O27" s="18">
        <v>7200.2460000514984</v>
      </c>
      <c r="P27" s="11">
        <v>3817</v>
      </c>
      <c r="Q27" s="11" t="s">
        <v>142</v>
      </c>
      <c r="R27" s="11" t="s">
        <v>142</v>
      </c>
      <c r="S27" s="11" t="s">
        <v>142</v>
      </c>
      <c r="T27" s="11" t="s">
        <v>142</v>
      </c>
      <c r="U27" s="11" t="s">
        <v>142</v>
      </c>
      <c r="V27" s="11" t="s">
        <v>142</v>
      </c>
      <c r="W27" s="11">
        <v>7200</v>
      </c>
      <c r="X27" s="11">
        <v>1</v>
      </c>
      <c r="Y27" s="11">
        <v>1</v>
      </c>
      <c r="Z27" s="11">
        <v>1234</v>
      </c>
    </row>
    <row r="28" spans="1:26" ht="16.350000000000001" customHeight="1" x14ac:dyDescent="0.3">
      <c r="A28" s="11" t="s">
        <v>22</v>
      </c>
      <c r="B28" s="17">
        <v>0.4</v>
      </c>
      <c r="C28" s="11" t="s">
        <v>340</v>
      </c>
      <c r="D28" s="11" t="s">
        <v>341</v>
      </c>
      <c r="E28" s="11" t="b">
        <v>0</v>
      </c>
      <c r="F28" s="18" t="s">
        <v>142</v>
      </c>
      <c r="G28" s="18">
        <v>338.31803342376537</v>
      </c>
      <c r="H28" s="18" t="s">
        <v>142</v>
      </c>
      <c r="I28" s="11" t="s">
        <v>142</v>
      </c>
      <c r="J28" s="11" t="s">
        <v>142</v>
      </c>
      <c r="K28" s="18" t="s">
        <v>142</v>
      </c>
      <c r="L28" s="11" t="s">
        <v>142</v>
      </c>
      <c r="M28" s="11" t="s">
        <v>142</v>
      </c>
      <c r="N28" s="11" t="s">
        <v>142</v>
      </c>
      <c r="O28" s="18">
        <v>7200.25</v>
      </c>
      <c r="P28" s="11">
        <v>11576</v>
      </c>
      <c r="Q28" s="11" t="s">
        <v>142</v>
      </c>
      <c r="R28" s="11" t="s">
        <v>142</v>
      </c>
      <c r="S28" s="11" t="s">
        <v>142</v>
      </c>
      <c r="T28" s="11" t="s">
        <v>142</v>
      </c>
      <c r="U28" s="11" t="s">
        <v>142</v>
      </c>
      <c r="V28" s="11" t="s">
        <v>142</v>
      </c>
      <c r="W28" s="11">
        <v>7200</v>
      </c>
      <c r="X28" s="11">
        <v>1</v>
      </c>
      <c r="Y28" s="11">
        <v>1</v>
      </c>
      <c r="Z28" s="11">
        <v>1234</v>
      </c>
    </row>
    <row r="29" spans="1:26" ht="16.350000000000001" customHeight="1" x14ac:dyDescent="0.3">
      <c r="A29" s="11" t="s">
        <v>23</v>
      </c>
      <c r="B29" s="17">
        <v>0.4</v>
      </c>
      <c r="C29" s="11" t="s">
        <v>340</v>
      </c>
      <c r="D29" s="11" t="s">
        <v>341</v>
      </c>
      <c r="E29" s="11" t="b">
        <v>0</v>
      </c>
      <c r="F29" s="18" t="s">
        <v>142</v>
      </c>
      <c r="G29" s="18">
        <v>407.6029588687004</v>
      </c>
      <c r="H29" s="18" t="s">
        <v>142</v>
      </c>
      <c r="I29" s="11" t="s">
        <v>142</v>
      </c>
      <c r="J29" s="11" t="s">
        <v>142</v>
      </c>
      <c r="K29" s="18" t="s">
        <v>142</v>
      </c>
      <c r="L29" s="11" t="s">
        <v>142</v>
      </c>
      <c r="M29" s="11" t="s">
        <v>142</v>
      </c>
      <c r="N29" s="11" t="s">
        <v>142</v>
      </c>
      <c r="O29" s="18">
        <v>7200.7030000686646</v>
      </c>
      <c r="P29" s="11">
        <v>5883</v>
      </c>
      <c r="Q29" s="11" t="s">
        <v>142</v>
      </c>
      <c r="R29" s="11" t="s">
        <v>142</v>
      </c>
      <c r="S29" s="11" t="s">
        <v>142</v>
      </c>
      <c r="T29" s="11" t="s">
        <v>142</v>
      </c>
      <c r="U29" s="11" t="s">
        <v>142</v>
      </c>
      <c r="V29" s="11" t="s">
        <v>142</v>
      </c>
      <c r="W29" s="11">
        <v>7200</v>
      </c>
      <c r="X29" s="11">
        <v>1</v>
      </c>
      <c r="Y29" s="11">
        <v>1</v>
      </c>
      <c r="Z29" s="11">
        <v>1234</v>
      </c>
    </row>
    <row r="30" spans="1:26" ht="16.350000000000001" customHeight="1" x14ac:dyDescent="0.3">
      <c r="A30" s="11" t="s">
        <v>10</v>
      </c>
      <c r="B30" s="17">
        <v>0.7</v>
      </c>
      <c r="C30" s="11" t="s">
        <v>338</v>
      </c>
      <c r="D30" s="11" t="s">
        <v>339</v>
      </c>
      <c r="E30" s="11" t="b">
        <v>1</v>
      </c>
      <c r="F30" s="18">
        <v>470.95318134914515</v>
      </c>
      <c r="G30" s="18">
        <v>470.95318134914504</v>
      </c>
      <c r="H30" s="18">
        <v>2.4139732403109796E-14</v>
      </c>
      <c r="I30" s="11">
        <v>302.234835599132</v>
      </c>
      <c r="J30" s="11">
        <v>15.185032766763488</v>
      </c>
      <c r="K30" s="18">
        <v>140.23483559913456</v>
      </c>
      <c r="L30" s="11">
        <v>0</v>
      </c>
      <c r="M30" s="11">
        <v>132.98477384115102</v>
      </c>
      <c r="N30" s="11">
        <v>13.298477384115102</v>
      </c>
      <c r="O30" s="18">
        <v>225.96199989318848</v>
      </c>
      <c r="P30" s="11">
        <v>29006</v>
      </c>
      <c r="Q30" s="11" t="b">
        <v>1</v>
      </c>
      <c r="R30" s="11" t="b">
        <v>1</v>
      </c>
      <c r="S30" s="11">
        <v>0</v>
      </c>
      <c r="T30" s="11">
        <v>0</v>
      </c>
      <c r="U30" s="11">
        <v>0</v>
      </c>
      <c r="V30" s="11" t="b">
        <v>1</v>
      </c>
      <c r="W30" s="11">
        <v>7200</v>
      </c>
      <c r="X30" s="11">
        <v>1</v>
      </c>
      <c r="Y30" s="11">
        <v>1</v>
      </c>
      <c r="Z30" s="11">
        <v>1234</v>
      </c>
    </row>
    <row r="31" spans="1:26" ht="16.350000000000001" customHeight="1" x14ac:dyDescent="0.3">
      <c r="A31" s="11" t="s">
        <v>11</v>
      </c>
      <c r="B31" s="17">
        <v>0.7</v>
      </c>
      <c r="C31" s="11" t="s">
        <v>340</v>
      </c>
      <c r="D31" s="11" t="s">
        <v>339</v>
      </c>
      <c r="E31" s="11" t="b">
        <v>1</v>
      </c>
      <c r="F31" s="18">
        <v>639.40058856583346</v>
      </c>
      <c r="G31" s="18">
        <v>553.28791671588317</v>
      </c>
      <c r="H31" s="18">
        <v>13.467718577347545</v>
      </c>
      <c r="I31" s="11">
        <v>375.41116661881983</v>
      </c>
      <c r="J31" s="11">
        <v>24.837311973438428</v>
      </c>
      <c r="K31" s="18">
        <v>213.41116661881949</v>
      </c>
      <c r="L31" s="11">
        <v>0</v>
      </c>
      <c r="M31" s="11">
        <v>257.40943354755865</v>
      </c>
      <c r="N31" s="11">
        <v>25.740943354755867</v>
      </c>
      <c r="O31" s="18">
        <v>7200.069000005722</v>
      </c>
      <c r="P31" s="11">
        <v>1025692</v>
      </c>
      <c r="Q31" s="11" t="b">
        <v>1</v>
      </c>
      <c r="R31" s="11" t="b">
        <v>1</v>
      </c>
      <c r="S31" s="11">
        <v>0</v>
      </c>
      <c r="T31" s="11">
        <v>0</v>
      </c>
      <c r="U31" s="11">
        <v>0</v>
      </c>
      <c r="V31" s="11" t="b">
        <v>1</v>
      </c>
      <c r="W31" s="11">
        <v>7200</v>
      </c>
      <c r="X31" s="11">
        <v>1</v>
      </c>
      <c r="Y31" s="11">
        <v>1</v>
      </c>
      <c r="Z31" s="11">
        <v>1234</v>
      </c>
    </row>
    <row r="32" spans="1:26" ht="16.350000000000001" customHeight="1" x14ac:dyDescent="0.3">
      <c r="A32" s="11" t="s">
        <v>12</v>
      </c>
      <c r="B32" s="17">
        <v>0.7</v>
      </c>
      <c r="C32" s="11" t="s">
        <v>340</v>
      </c>
      <c r="D32" s="11" t="s">
        <v>339</v>
      </c>
      <c r="E32" s="11" t="b">
        <v>1</v>
      </c>
      <c r="F32" s="18">
        <v>803.80321602955007</v>
      </c>
      <c r="G32" s="18">
        <v>723.73670294083706</v>
      </c>
      <c r="H32" s="18">
        <v>9.9609595348732149</v>
      </c>
      <c r="I32" s="11">
        <v>455.24345745833097</v>
      </c>
      <c r="J32" s="11">
        <v>24.837311973438428</v>
      </c>
      <c r="K32" s="18">
        <v>293.24345745833085</v>
      </c>
      <c r="L32" s="11">
        <v>0</v>
      </c>
      <c r="M32" s="11">
        <v>304.78989139449953</v>
      </c>
      <c r="N32" s="11">
        <v>30.478989139449954</v>
      </c>
      <c r="O32" s="18">
        <v>7200.1819999217987</v>
      </c>
      <c r="P32" s="11">
        <v>373584</v>
      </c>
      <c r="Q32" s="11" t="b">
        <v>1</v>
      </c>
      <c r="R32" s="11" t="b">
        <v>1</v>
      </c>
      <c r="S32" s="11">
        <v>0</v>
      </c>
      <c r="T32" s="11">
        <v>0</v>
      </c>
      <c r="U32" s="11">
        <v>0</v>
      </c>
      <c r="V32" s="11" t="b">
        <v>1</v>
      </c>
      <c r="W32" s="11">
        <v>7200</v>
      </c>
      <c r="X32" s="11">
        <v>1</v>
      </c>
      <c r="Y32" s="11">
        <v>1</v>
      </c>
      <c r="Z32" s="11">
        <v>1234</v>
      </c>
    </row>
    <row r="33" spans="1:26" ht="16.350000000000001" customHeight="1" x14ac:dyDescent="0.3">
      <c r="A33" s="11" t="s">
        <v>13</v>
      </c>
      <c r="B33" s="17">
        <v>0.7</v>
      </c>
      <c r="C33" s="11" t="s">
        <v>338</v>
      </c>
      <c r="D33" s="11" t="s">
        <v>339</v>
      </c>
      <c r="E33" s="11" t="b">
        <v>1</v>
      </c>
      <c r="F33" s="18">
        <v>399.14330594614557</v>
      </c>
      <c r="G33" s="18">
        <v>399.14330594614449</v>
      </c>
      <c r="H33" s="18">
        <v>2.705857626235813E-13</v>
      </c>
      <c r="I33" s="11">
        <v>308.08865337892837</v>
      </c>
      <c r="J33" s="11">
        <v>19.39634913454163</v>
      </c>
      <c r="K33" s="18">
        <v>67.647790552575913</v>
      </c>
      <c r="L33" s="11">
        <v>0</v>
      </c>
      <c r="M33" s="11">
        <v>40.105128800997079</v>
      </c>
      <c r="N33" s="11">
        <v>4.0105128800997081</v>
      </c>
      <c r="O33" s="18">
        <v>4123.4690001010895</v>
      </c>
      <c r="P33" s="11">
        <v>311207</v>
      </c>
      <c r="Q33" s="11" t="b">
        <v>1</v>
      </c>
      <c r="R33" s="11" t="b">
        <v>1</v>
      </c>
      <c r="S33" s="11">
        <v>0</v>
      </c>
      <c r="T33" s="11">
        <v>0</v>
      </c>
      <c r="U33" s="11">
        <v>0</v>
      </c>
      <c r="V33" s="11" t="b">
        <v>1</v>
      </c>
      <c r="W33" s="11">
        <v>7200</v>
      </c>
      <c r="X33" s="11">
        <v>1</v>
      </c>
      <c r="Y33" s="11">
        <v>1</v>
      </c>
      <c r="Z33" s="11">
        <v>1234</v>
      </c>
    </row>
    <row r="34" spans="1:26" ht="16.350000000000001" customHeight="1" x14ac:dyDescent="0.3">
      <c r="A34" s="11" t="s">
        <v>14</v>
      </c>
      <c r="B34" s="17">
        <v>0.7</v>
      </c>
      <c r="C34" s="11" t="s">
        <v>340</v>
      </c>
      <c r="D34" s="11" t="s">
        <v>339</v>
      </c>
      <c r="E34" s="11" t="b">
        <v>1</v>
      </c>
      <c r="F34" s="18">
        <v>528.06833835875739</v>
      </c>
      <c r="G34" s="18">
        <v>349.10509149816289</v>
      </c>
      <c r="H34" s="18">
        <v>33.890167968944013</v>
      </c>
      <c r="I34" s="11">
        <v>366.9293957771722</v>
      </c>
      <c r="J34" s="11">
        <v>24.837311973438428</v>
      </c>
      <c r="K34" s="18">
        <v>123.92939577716444</v>
      </c>
      <c r="L34" s="11">
        <v>0</v>
      </c>
      <c r="M34" s="11">
        <v>123.72234830982433</v>
      </c>
      <c r="N34" s="11">
        <v>12.372234830982434</v>
      </c>
      <c r="O34" s="18">
        <v>7200.1319999694824</v>
      </c>
      <c r="P34" s="11">
        <v>133138</v>
      </c>
      <c r="Q34" s="11" t="b">
        <v>1</v>
      </c>
      <c r="R34" s="11" t="b">
        <v>1</v>
      </c>
      <c r="S34" s="11">
        <v>0</v>
      </c>
      <c r="T34" s="11">
        <v>0</v>
      </c>
      <c r="U34" s="11">
        <v>0</v>
      </c>
      <c r="V34" s="11" t="b">
        <v>1</v>
      </c>
      <c r="W34" s="11">
        <v>7200</v>
      </c>
      <c r="X34" s="11">
        <v>1</v>
      </c>
      <c r="Y34" s="11">
        <v>1</v>
      </c>
      <c r="Z34" s="11">
        <v>1234</v>
      </c>
    </row>
    <row r="35" spans="1:26" ht="16.350000000000001" customHeight="1" x14ac:dyDescent="0.3">
      <c r="A35" s="11" t="s">
        <v>15</v>
      </c>
      <c r="B35" s="17">
        <v>0.7</v>
      </c>
      <c r="C35" s="11" t="s">
        <v>340</v>
      </c>
      <c r="D35" s="11" t="s">
        <v>341</v>
      </c>
      <c r="E35" s="11" t="b">
        <v>0</v>
      </c>
      <c r="F35" s="18" t="s">
        <v>142</v>
      </c>
      <c r="G35" s="18">
        <v>580.45748747540949</v>
      </c>
      <c r="H35" s="18" t="s">
        <v>142</v>
      </c>
      <c r="I35" s="11" t="s">
        <v>142</v>
      </c>
      <c r="J35" s="11" t="s">
        <v>142</v>
      </c>
      <c r="K35" s="18" t="s">
        <v>142</v>
      </c>
      <c r="L35" s="11" t="s">
        <v>142</v>
      </c>
      <c r="M35" s="11" t="s">
        <v>142</v>
      </c>
      <c r="N35" s="11" t="s">
        <v>142</v>
      </c>
      <c r="O35" s="18">
        <v>7200.1210000514984</v>
      </c>
      <c r="P35" s="11">
        <v>75390</v>
      </c>
      <c r="Q35" s="11" t="s">
        <v>142</v>
      </c>
      <c r="R35" s="11" t="s">
        <v>142</v>
      </c>
      <c r="S35" s="11" t="s">
        <v>142</v>
      </c>
      <c r="T35" s="11" t="s">
        <v>142</v>
      </c>
      <c r="U35" s="11" t="s">
        <v>142</v>
      </c>
      <c r="V35" s="11" t="s">
        <v>142</v>
      </c>
      <c r="W35" s="11">
        <v>7200</v>
      </c>
      <c r="X35" s="11">
        <v>1</v>
      </c>
      <c r="Y35" s="11">
        <v>1</v>
      </c>
      <c r="Z35" s="11">
        <v>1234</v>
      </c>
    </row>
    <row r="36" spans="1:26" ht="16.350000000000001" customHeight="1" x14ac:dyDescent="0.3">
      <c r="A36" s="11" t="s">
        <v>16</v>
      </c>
      <c r="B36" s="17">
        <v>0.7</v>
      </c>
      <c r="C36" s="11" t="s">
        <v>340</v>
      </c>
      <c r="D36" s="11" t="s">
        <v>341</v>
      </c>
      <c r="E36" s="11" t="b">
        <v>0</v>
      </c>
      <c r="F36" s="18" t="s">
        <v>142</v>
      </c>
      <c r="G36" s="18">
        <v>710.41179883985865</v>
      </c>
      <c r="H36" s="18" t="s">
        <v>142</v>
      </c>
      <c r="I36" s="11" t="s">
        <v>142</v>
      </c>
      <c r="J36" s="11" t="s">
        <v>142</v>
      </c>
      <c r="K36" s="18" t="s">
        <v>142</v>
      </c>
      <c r="L36" s="11" t="s">
        <v>142</v>
      </c>
      <c r="M36" s="11" t="s">
        <v>142</v>
      </c>
      <c r="N36" s="11" t="s">
        <v>142</v>
      </c>
      <c r="O36" s="18">
        <v>7200.2070000171661</v>
      </c>
      <c r="P36" s="11">
        <v>35080</v>
      </c>
      <c r="Q36" s="11" t="s">
        <v>142</v>
      </c>
      <c r="R36" s="11" t="s">
        <v>142</v>
      </c>
      <c r="S36" s="11" t="s">
        <v>142</v>
      </c>
      <c r="T36" s="11" t="s">
        <v>142</v>
      </c>
      <c r="U36" s="11" t="s">
        <v>142</v>
      </c>
      <c r="V36" s="11" t="s">
        <v>142</v>
      </c>
      <c r="W36" s="11">
        <v>7200</v>
      </c>
      <c r="X36" s="11">
        <v>1</v>
      </c>
      <c r="Y36" s="11">
        <v>1</v>
      </c>
      <c r="Z36" s="11">
        <v>1234</v>
      </c>
    </row>
    <row r="37" spans="1:26" ht="16.350000000000001" customHeight="1" x14ac:dyDescent="0.3">
      <c r="A37" s="11" t="s">
        <v>17</v>
      </c>
      <c r="B37" s="17">
        <v>0.7</v>
      </c>
      <c r="C37" s="11" t="s">
        <v>338</v>
      </c>
      <c r="D37" s="11" t="s">
        <v>339</v>
      </c>
      <c r="E37" s="11" t="b">
        <v>1</v>
      </c>
      <c r="F37" s="18">
        <v>290.09628522211261</v>
      </c>
      <c r="G37" s="18">
        <v>290.09628522211267</v>
      </c>
      <c r="H37" s="18">
        <v>1.9594673133192925E-14</v>
      </c>
      <c r="I37" s="11">
        <v>290.09628522211267</v>
      </c>
      <c r="J37" s="11">
        <v>0</v>
      </c>
      <c r="K37" s="18">
        <v>0</v>
      </c>
      <c r="L37" s="11">
        <v>0</v>
      </c>
      <c r="M37" s="11">
        <v>0</v>
      </c>
      <c r="N37" s="11">
        <v>0</v>
      </c>
      <c r="O37" s="18">
        <v>2266.7990000247955</v>
      </c>
      <c r="P37" s="11">
        <v>152686</v>
      </c>
      <c r="Q37" s="11" t="b">
        <v>1</v>
      </c>
      <c r="R37" s="11" t="b">
        <v>1</v>
      </c>
      <c r="S37" s="11">
        <v>0</v>
      </c>
      <c r="T37" s="11">
        <v>0</v>
      </c>
      <c r="U37" s="11">
        <v>0</v>
      </c>
      <c r="V37" s="11" t="b">
        <v>1</v>
      </c>
      <c r="W37" s="11">
        <v>7200</v>
      </c>
      <c r="X37" s="11">
        <v>1</v>
      </c>
      <c r="Y37" s="11">
        <v>1</v>
      </c>
      <c r="Z37" s="11">
        <v>1234</v>
      </c>
    </row>
    <row r="38" spans="1:26" ht="16.350000000000001" customHeight="1" x14ac:dyDescent="0.3">
      <c r="A38" s="11" t="s">
        <v>18</v>
      </c>
      <c r="B38" s="17">
        <v>0.7</v>
      </c>
      <c r="C38" s="11" t="s">
        <v>340</v>
      </c>
      <c r="D38" s="11" t="s">
        <v>339</v>
      </c>
      <c r="E38" s="11" t="b">
        <v>1</v>
      </c>
      <c r="F38" s="18">
        <v>525.95746281093864</v>
      </c>
      <c r="G38" s="18">
        <v>343.53900660653153</v>
      </c>
      <c r="H38" s="18">
        <v>34.683119663230158</v>
      </c>
      <c r="I38" s="11">
        <v>402.02477451438062</v>
      </c>
      <c r="J38" s="11">
        <v>38.885567991088138</v>
      </c>
      <c r="K38" s="18">
        <v>80.195114703046642</v>
      </c>
      <c r="L38" s="11">
        <v>0</v>
      </c>
      <c r="M38" s="11">
        <v>48.520056024232645</v>
      </c>
      <c r="N38" s="11">
        <v>4.8520056024232652</v>
      </c>
      <c r="O38" s="18">
        <v>7200.2409999370575</v>
      </c>
      <c r="P38" s="11">
        <v>65925</v>
      </c>
      <c r="Q38" s="11" t="b">
        <v>1</v>
      </c>
      <c r="R38" s="11" t="b">
        <v>1</v>
      </c>
      <c r="S38" s="11">
        <v>0</v>
      </c>
      <c r="T38" s="11">
        <v>0</v>
      </c>
      <c r="U38" s="11">
        <v>0</v>
      </c>
      <c r="V38" s="11" t="b">
        <v>1</v>
      </c>
      <c r="W38" s="11">
        <v>7200</v>
      </c>
      <c r="X38" s="11">
        <v>1</v>
      </c>
      <c r="Y38" s="11">
        <v>1</v>
      </c>
      <c r="Z38" s="11">
        <v>1234</v>
      </c>
    </row>
    <row r="39" spans="1:26" ht="16.350000000000001" customHeight="1" x14ac:dyDescent="0.3">
      <c r="A39" s="11" t="s">
        <v>19</v>
      </c>
      <c r="B39" s="17">
        <v>0.7</v>
      </c>
      <c r="C39" s="11" t="s">
        <v>340</v>
      </c>
      <c r="D39" s="11" t="s">
        <v>341</v>
      </c>
      <c r="E39" s="11" t="b">
        <v>0</v>
      </c>
      <c r="F39" s="18" t="s">
        <v>142</v>
      </c>
      <c r="G39" s="18">
        <v>389.58288084746442</v>
      </c>
      <c r="H39" s="18" t="s">
        <v>142</v>
      </c>
      <c r="I39" s="11" t="s">
        <v>142</v>
      </c>
      <c r="J39" s="11" t="s">
        <v>142</v>
      </c>
      <c r="K39" s="18" t="s">
        <v>142</v>
      </c>
      <c r="L39" s="11" t="s">
        <v>142</v>
      </c>
      <c r="M39" s="11" t="s">
        <v>142</v>
      </c>
      <c r="N39" s="11" t="s">
        <v>142</v>
      </c>
      <c r="O39" s="18">
        <v>7200.5280001163483</v>
      </c>
      <c r="P39" s="11">
        <v>30007</v>
      </c>
      <c r="Q39" s="11" t="s">
        <v>142</v>
      </c>
      <c r="R39" s="11" t="s">
        <v>142</v>
      </c>
      <c r="S39" s="11" t="s">
        <v>142</v>
      </c>
      <c r="T39" s="11" t="s">
        <v>142</v>
      </c>
      <c r="U39" s="11" t="s">
        <v>142</v>
      </c>
      <c r="V39" s="11" t="s">
        <v>142</v>
      </c>
      <c r="W39" s="11">
        <v>7200</v>
      </c>
      <c r="X39" s="11">
        <v>1</v>
      </c>
      <c r="Y39" s="11">
        <v>1</v>
      </c>
      <c r="Z39" s="11">
        <v>1234</v>
      </c>
    </row>
    <row r="40" spans="1:26" ht="16.350000000000001" customHeight="1" x14ac:dyDescent="0.3">
      <c r="A40" s="11" t="s">
        <v>20</v>
      </c>
      <c r="B40" s="17">
        <v>0.7</v>
      </c>
      <c r="C40" s="11" t="s">
        <v>340</v>
      </c>
      <c r="D40" s="11" t="s">
        <v>341</v>
      </c>
      <c r="E40" s="11" t="b">
        <v>0</v>
      </c>
      <c r="F40" s="18" t="s">
        <v>142</v>
      </c>
      <c r="G40" s="18">
        <v>484.65444609165866</v>
      </c>
      <c r="H40" s="18" t="s">
        <v>142</v>
      </c>
      <c r="I40" s="11" t="s">
        <v>142</v>
      </c>
      <c r="J40" s="11" t="s">
        <v>142</v>
      </c>
      <c r="K40" s="18" t="s">
        <v>142</v>
      </c>
      <c r="L40" s="11" t="s">
        <v>142</v>
      </c>
      <c r="M40" s="11" t="s">
        <v>142</v>
      </c>
      <c r="N40" s="11" t="s">
        <v>142</v>
      </c>
      <c r="O40" s="18">
        <v>7200.2469999790192</v>
      </c>
      <c r="P40" s="11">
        <v>10018</v>
      </c>
      <c r="Q40" s="11" t="s">
        <v>142</v>
      </c>
      <c r="R40" s="11" t="s">
        <v>142</v>
      </c>
      <c r="S40" s="11" t="s">
        <v>142</v>
      </c>
      <c r="T40" s="11" t="s">
        <v>142</v>
      </c>
      <c r="U40" s="11" t="s">
        <v>142</v>
      </c>
      <c r="V40" s="11" t="s">
        <v>142</v>
      </c>
      <c r="W40" s="11">
        <v>7200</v>
      </c>
      <c r="X40" s="11">
        <v>1</v>
      </c>
      <c r="Y40" s="11">
        <v>1</v>
      </c>
      <c r="Z40" s="11">
        <v>1234</v>
      </c>
    </row>
    <row r="41" spans="1:26" ht="16.350000000000001" customHeight="1" x14ac:dyDescent="0.3">
      <c r="A41" s="11" t="s">
        <v>21</v>
      </c>
      <c r="B41" s="17">
        <v>0.7</v>
      </c>
      <c r="C41" s="11" t="s">
        <v>340</v>
      </c>
      <c r="D41" s="11" t="s">
        <v>341</v>
      </c>
      <c r="E41" s="11" t="b">
        <v>0</v>
      </c>
      <c r="F41" s="18" t="s">
        <v>142</v>
      </c>
      <c r="G41" s="18">
        <v>464.42811750674548</v>
      </c>
      <c r="H41" s="18" t="s">
        <v>142</v>
      </c>
      <c r="I41" s="11" t="s">
        <v>142</v>
      </c>
      <c r="J41" s="11" t="s">
        <v>142</v>
      </c>
      <c r="K41" s="18" t="s">
        <v>142</v>
      </c>
      <c r="L41" s="11" t="s">
        <v>142</v>
      </c>
      <c r="M41" s="11" t="s">
        <v>142</v>
      </c>
      <c r="N41" s="11" t="s">
        <v>142</v>
      </c>
      <c r="O41" s="18">
        <v>7200.1760001182556</v>
      </c>
      <c r="P41" s="11">
        <v>2612</v>
      </c>
      <c r="Q41" s="11" t="s">
        <v>142</v>
      </c>
      <c r="R41" s="11" t="s">
        <v>142</v>
      </c>
      <c r="S41" s="11" t="s">
        <v>142</v>
      </c>
      <c r="T41" s="11" t="s">
        <v>142</v>
      </c>
      <c r="U41" s="11" t="s">
        <v>142</v>
      </c>
      <c r="V41" s="11" t="s">
        <v>142</v>
      </c>
      <c r="W41" s="11">
        <v>7200</v>
      </c>
      <c r="X41" s="11">
        <v>1</v>
      </c>
      <c r="Y41" s="11">
        <v>1</v>
      </c>
      <c r="Z41" s="11">
        <v>1234</v>
      </c>
    </row>
    <row r="42" spans="1:26" ht="16.350000000000001" customHeight="1" x14ac:dyDescent="0.3">
      <c r="A42" s="11" t="s">
        <v>22</v>
      </c>
      <c r="B42" s="17">
        <v>0.7</v>
      </c>
      <c r="C42" s="11" t="s">
        <v>340</v>
      </c>
      <c r="D42" s="11" t="s">
        <v>341</v>
      </c>
      <c r="E42" s="11" t="b">
        <v>0</v>
      </c>
      <c r="F42" s="18" t="s">
        <v>142</v>
      </c>
      <c r="G42" s="18">
        <v>337.98248091445771</v>
      </c>
      <c r="H42" s="18" t="s">
        <v>142</v>
      </c>
      <c r="I42" s="11" t="s">
        <v>142</v>
      </c>
      <c r="J42" s="11" t="s">
        <v>142</v>
      </c>
      <c r="K42" s="18" t="s">
        <v>142</v>
      </c>
      <c r="L42" s="11" t="s">
        <v>142</v>
      </c>
      <c r="M42" s="11" t="s">
        <v>142</v>
      </c>
      <c r="N42" s="11" t="s">
        <v>142</v>
      </c>
      <c r="O42" s="18">
        <v>7200.228000164032</v>
      </c>
      <c r="P42" s="11">
        <v>14551</v>
      </c>
      <c r="Q42" s="11" t="s">
        <v>142</v>
      </c>
      <c r="R42" s="11" t="s">
        <v>142</v>
      </c>
      <c r="S42" s="11" t="s">
        <v>142</v>
      </c>
      <c r="T42" s="11" t="s">
        <v>142</v>
      </c>
      <c r="U42" s="11" t="s">
        <v>142</v>
      </c>
      <c r="V42" s="11" t="s">
        <v>142</v>
      </c>
      <c r="W42" s="11">
        <v>7200</v>
      </c>
      <c r="X42" s="11">
        <v>1</v>
      </c>
      <c r="Y42" s="11">
        <v>1</v>
      </c>
      <c r="Z42" s="11">
        <v>1234</v>
      </c>
    </row>
    <row r="43" spans="1:26" ht="16.350000000000001" customHeight="1" x14ac:dyDescent="0.3">
      <c r="A43" s="19" t="s">
        <v>23</v>
      </c>
      <c r="B43" s="20">
        <v>0.7</v>
      </c>
      <c r="C43" s="19" t="s">
        <v>340</v>
      </c>
      <c r="D43" s="19" t="s">
        <v>341</v>
      </c>
      <c r="E43" s="19" t="b">
        <v>0</v>
      </c>
      <c r="F43" s="21" t="s">
        <v>142</v>
      </c>
      <c r="G43" s="21">
        <v>406.0125452553641</v>
      </c>
      <c r="H43" s="21" t="s">
        <v>142</v>
      </c>
      <c r="I43" s="19" t="s">
        <v>142</v>
      </c>
      <c r="J43" s="19" t="s">
        <v>142</v>
      </c>
      <c r="K43" s="21" t="s">
        <v>142</v>
      </c>
      <c r="L43" s="19" t="s">
        <v>142</v>
      </c>
      <c r="M43" s="19" t="s">
        <v>142</v>
      </c>
      <c r="N43" s="19" t="s">
        <v>142</v>
      </c>
      <c r="O43" s="21">
        <v>7200.3309998512268</v>
      </c>
      <c r="P43" s="19">
        <v>2514</v>
      </c>
      <c r="Q43" s="19" t="s">
        <v>142</v>
      </c>
      <c r="R43" s="19" t="s">
        <v>142</v>
      </c>
      <c r="S43" s="19" t="s">
        <v>142</v>
      </c>
      <c r="T43" s="19" t="s">
        <v>142</v>
      </c>
      <c r="U43" s="19" t="s">
        <v>142</v>
      </c>
      <c r="V43" s="19" t="s">
        <v>142</v>
      </c>
      <c r="W43" s="19">
        <v>7200</v>
      </c>
      <c r="X43" s="19">
        <v>1</v>
      </c>
      <c r="Y43" s="19">
        <v>1</v>
      </c>
      <c r="Z43" s="19">
        <v>1234</v>
      </c>
    </row>
  </sheetData>
  <conditionalFormatting sqref="C2:C43">
    <cfRule type="containsText" dxfId="1" priority="1" operator="containsText" text="ERROR">
      <formula>NOT(ISERROR(SEARCH("ERROR",C2)))</formula>
    </cfRule>
    <cfRule type="containsText" dxfId="0" priority="2" operator="containsText" text="OPTIMAL">
      <formula>NOT(ISERROR(SEARCH("OPTIMAL",C2)))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ET29"/>
  <sheetViews>
    <sheetView workbookViewId="0">
      <selection activeCell="C1" sqref="C1"/>
    </sheetView>
  </sheetViews>
  <sheetFormatPr defaultColWidth="11.5546875" defaultRowHeight="13.2" x14ac:dyDescent="0.25"/>
  <sheetData>
    <row r="1" spans="1:150" x14ac:dyDescent="0.25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</row>
    <row r="2" spans="1:150" x14ac:dyDescent="0.25">
      <c r="A2" t="s">
        <v>324</v>
      </c>
      <c r="B2">
        <v>0.4</v>
      </c>
      <c r="C2">
        <v>3</v>
      </c>
      <c r="D2">
        <v>3</v>
      </c>
      <c r="E2">
        <v>3</v>
      </c>
      <c r="F2">
        <v>0</v>
      </c>
      <c r="G2">
        <v>3</v>
      </c>
      <c r="H2">
        <v>0</v>
      </c>
      <c r="I2">
        <v>100</v>
      </c>
      <c r="J2">
        <v>0</v>
      </c>
      <c r="K2">
        <v>3</v>
      </c>
      <c r="L2">
        <v>314.71310510556566</v>
      </c>
      <c r="M2">
        <v>314.71310510556566</v>
      </c>
      <c r="N2">
        <v>32.702861616566373</v>
      </c>
      <c r="O2">
        <v>3</v>
      </c>
      <c r="P2">
        <v>295.19396850691845</v>
      </c>
      <c r="Q2">
        <v>295.19396850691845</v>
      </c>
      <c r="R2">
        <v>0</v>
      </c>
      <c r="S2">
        <v>3</v>
      </c>
      <c r="T2">
        <v>233.37713225447621</v>
      </c>
      <c r="U2">
        <v>233.37713225447621</v>
      </c>
      <c r="V2">
        <v>3.1171672973215099</v>
      </c>
      <c r="W2">
        <v>3</v>
      </c>
      <c r="X2">
        <v>20.941090553140299</v>
      </c>
      <c r="Y2">
        <v>20.941090553140299</v>
      </c>
      <c r="Z2">
        <v>1.0559725569895753</v>
      </c>
      <c r="AA2">
        <v>3</v>
      </c>
      <c r="AB2">
        <v>295.19396850691845</v>
      </c>
      <c r="AC2">
        <v>295.19396850691845</v>
      </c>
      <c r="AD2">
        <v>0</v>
      </c>
      <c r="AE2">
        <v>3</v>
      </c>
      <c r="AF2">
        <v>0</v>
      </c>
      <c r="AG2">
        <v>0</v>
      </c>
      <c r="AH2">
        <v>0</v>
      </c>
      <c r="AI2">
        <v>3</v>
      </c>
      <c r="AJ2">
        <v>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3</v>
      </c>
      <c r="AR2">
        <v>0</v>
      </c>
      <c r="AS2">
        <v>0</v>
      </c>
      <c r="AT2">
        <v>0</v>
      </c>
      <c r="AU2">
        <v>3</v>
      </c>
      <c r="AV2">
        <v>0</v>
      </c>
      <c r="AW2">
        <v>0</v>
      </c>
      <c r="AX2">
        <v>0</v>
      </c>
      <c r="AY2">
        <v>3</v>
      </c>
      <c r="AZ2">
        <v>3.2203333377838135</v>
      </c>
      <c r="BA2">
        <v>3.2203333377838135</v>
      </c>
      <c r="BB2">
        <v>5.4660655782242173</v>
      </c>
      <c r="BC2">
        <v>3</v>
      </c>
      <c r="BD2">
        <v>5.666333357493083</v>
      </c>
      <c r="BE2">
        <v>5.666333357493083</v>
      </c>
      <c r="BF2">
        <v>8.9332306542816795</v>
      </c>
      <c r="BG2">
        <v>3</v>
      </c>
      <c r="BH2">
        <v>300.27366669972736</v>
      </c>
      <c r="BI2">
        <v>300.27366669972736</v>
      </c>
      <c r="BJ2">
        <v>0.33044572258697613</v>
      </c>
      <c r="BK2">
        <v>3</v>
      </c>
      <c r="BL2">
        <v>289.08833281199139</v>
      </c>
      <c r="BM2">
        <v>289.08833281199139</v>
      </c>
      <c r="BN2">
        <v>15.174758653105473</v>
      </c>
      <c r="BO2">
        <v>3</v>
      </c>
      <c r="BP2">
        <v>11.185333887736002</v>
      </c>
      <c r="BQ2">
        <v>11.185333887736002</v>
      </c>
      <c r="BR2">
        <v>14.948419091333372</v>
      </c>
      <c r="BS2">
        <v>3</v>
      </c>
      <c r="BT2">
        <v>413.33333333333331</v>
      </c>
      <c r="BU2">
        <v>413.33333333333331</v>
      </c>
      <c r="BV2">
        <v>49.166384179979453</v>
      </c>
      <c r="BW2">
        <v>3</v>
      </c>
      <c r="BX2">
        <v>1</v>
      </c>
      <c r="BY2">
        <v>1</v>
      </c>
      <c r="BZ2">
        <v>0</v>
      </c>
      <c r="CA2">
        <v>3</v>
      </c>
      <c r="CB2">
        <v>51.666666666666664</v>
      </c>
      <c r="CC2">
        <v>51.666666666666664</v>
      </c>
      <c r="CD2">
        <v>8.3864970836060841</v>
      </c>
      <c r="CE2">
        <v>3</v>
      </c>
      <c r="CF2">
        <v>125.66666666666667</v>
      </c>
      <c r="CG2">
        <v>125.66666666666667</v>
      </c>
      <c r="CH2">
        <v>17.925772879665004</v>
      </c>
      <c r="CI2">
        <v>3</v>
      </c>
      <c r="CJ2">
        <v>286.05533281962079</v>
      </c>
      <c r="CK2">
        <v>286.05533281962079</v>
      </c>
      <c r="CL2">
        <v>15.589907672344985</v>
      </c>
      <c r="CM2">
        <v>3</v>
      </c>
      <c r="CN2">
        <v>20.666666666666668</v>
      </c>
      <c r="CO2">
        <v>20.666666666666668</v>
      </c>
      <c r="CP2">
        <v>2.3094010767585034</v>
      </c>
      <c r="CQ2">
        <v>3</v>
      </c>
      <c r="CR2">
        <v>2.7333577473958332E-2</v>
      </c>
      <c r="CS2">
        <v>2.7333577473958332E-2</v>
      </c>
      <c r="CT2">
        <v>1.2097222733620005E-2</v>
      </c>
      <c r="CU2">
        <v>3</v>
      </c>
      <c r="CV2">
        <v>0</v>
      </c>
      <c r="CW2">
        <v>0</v>
      </c>
      <c r="CX2">
        <v>0</v>
      </c>
      <c r="CY2">
        <v>3</v>
      </c>
      <c r="CZ2">
        <v>0</v>
      </c>
      <c r="DA2">
        <v>0</v>
      </c>
      <c r="DB2">
        <v>0</v>
      </c>
      <c r="DC2">
        <v>3</v>
      </c>
      <c r="DD2">
        <v>20</v>
      </c>
      <c r="DE2">
        <v>20</v>
      </c>
      <c r="DF2">
        <v>0</v>
      </c>
      <c r="DG2">
        <v>3</v>
      </c>
      <c r="DH2">
        <v>9.3333333333333339</v>
      </c>
      <c r="DI2">
        <v>9.3333333333333339</v>
      </c>
      <c r="DJ2">
        <v>2.0816659994661331</v>
      </c>
      <c r="DK2">
        <v>3</v>
      </c>
      <c r="DL2">
        <v>22.666666666666668</v>
      </c>
      <c r="DM2">
        <v>22.666666666666668</v>
      </c>
      <c r="DN2">
        <v>1.5275252316519465</v>
      </c>
      <c r="DO2">
        <v>3</v>
      </c>
      <c r="DP2">
        <v>22.666666666666668</v>
      </c>
      <c r="DQ2">
        <v>22.666666666666668</v>
      </c>
      <c r="DR2">
        <v>1.5275252316519465</v>
      </c>
      <c r="DS2">
        <v>3</v>
      </c>
      <c r="DT2">
        <v>13.333333333333334</v>
      </c>
      <c r="DU2">
        <v>13.333333333333334</v>
      </c>
      <c r="DV2">
        <v>1.1547005383792517</v>
      </c>
      <c r="DW2">
        <v>3</v>
      </c>
      <c r="DX2">
        <v>0.66666666666666663</v>
      </c>
      <c r="DY2">
        <v>0.66666666666666663</v>
      </c>
      <c r="DZ2">
        <v>0.57735026918962584</v>
      </c>
      <c r="EA2">
        <v>3</v>
      </c>
      <c r="EB2">
        <v>10.666666666666666</v>
      </c>
      <c r="EC2">
        <v>10.666666666666666</v>
      </c>
      <c r="ED2">
        <v>0.57735026918962573</v>
      </c>
      <c r="EE2">
        <v>3</v>
      </c>
      <c r="EF2">
        <v>0</v>
      </c>
      <c r="EG2">
        <v>0</v>
      </c>
      <c r="EH2">
        <v>0</v>
      </c>
      <c r="EI2">
        <v>3</v>
      </c>
      <c r="EJ2">
        <v>0</v>
      </c>
      <c r="EK2">
        <v>0</v>
      </c>
      <c r="EL2">
        <v>0</v>
      </c>
      <c r="EM2">
        <v>3</v>
      </c>
      <c r="EN2">
        <v>0</v>
      </c>
      <c r="EO2">
        <v>0</v>
      </c>
      <c r="EP2">
        <v>0</v>
      </c>
      <c r="EQ2">
        <v>3</v>
      </c>
      <c r="ER2">
        <v>0</v>
      </c>
      <c r="ES2">
        <v>0</v>
      </c>
      <c r="ET2">
        <v>0</v>
      </c>
    </row>
    <row r="3" spans="1:150" x14ac:dyDescent="0.25">
      <c r="A3" t="s">
        <v>325</v>
      </c>
      <c r="B3">
        <v>0.4</v>
      </c>
      <c r="C3">
        <v>3</v>
      </c>
      <c r="D3">
        <v>3</v>
      </c>
      <c r="E3">
        <v>3</v>
      </c>
      <c r="F3">
        <v>0</v>
      </c>
      <c r="G3">
        <v>3</v>
      </c>
      <c r="H3">
        <v>0</v>
      </c>
      <c r="I3">
        <v>100</v>
      </c>
      <c r="J3">
        <v>0</v>
      </c>
      <c r="K3">
        <v>3</v>
      </c>
      <c r="L3">
        <v>424.00347515099821</v>
      </c>
      <c r="M3">
        <v>424.00347515099821</v>
      </c>
      <c r="N3">
        <v>8.280605698285278</v>
      </c>
      <c r="O3">
        <v>3</v>
      </c>
      <c r="P3">
        <v>405.77983784520075</v>
      </c>
      <c r="Q3">
        <v>405.77983784520075</v>
      </c>
      <c r="R3">
        <v>6.3164857768077836</v>
      </c>
      <c r="S3">
        <v>3</v>
      </c>
      <c r="T3">
        <v>205.64733113200782</v>
      </c>
      <c r="U3">
        <v>205.64733113200782</v>
      </c>
      <c r="V3">
        <v>16.945634978018084</v>
      </c>
      <c r="W3">
        <v>3</v>
      </c>
      <c r="X3">
        <v>49.353241417693511</v>
      </c>
      <c r="Y3">
        <v>49.353241417693511</v>
      </c>
      <c r="Z3">
        <v>3.4676086806543269</v>
      </c>
      <c r="AA3">
        <v>3</v>
      </c>
      <c r="AB3">
        <v>352.84977023542132</v>
      </c>
      <c r="AC3">
        <v>352.84977023542132</v>
      </c>
      <c r="AD3">
        <v>0.65964440526631241</v>
      </c>
      <c r="AE3">
        <v>3</v>
      </c>
      <c r="AF3">
        <v>15.18503276676349</v>
      </c>
      <c r="AG3">
        <v>15.18503276676349</v>
      </c>
      <c r="AH3">
        <v>2.1755839288168292E-15</v>
      </c>
      <c r="AI3">
        <v>3</v>
      </c>
      <c r="AJ3">
        <v>34.313668039105458</v>
      </c>
      <c r="AK3">
        <v>34.313668039105458</v>
      </c>
      <c r="AL3">
        <v>5.1425830650377184</v>
      </c>
      <c r="AM3">
        <v>3</v>
      </c>
      <c r="AN3">
        <v>0</v>
      </c>
      <c r="AO3">
        <v>0</v>
      </c>
      <c r="AP3">
        <v>0</v>
      </c>
      <c r="AQ3">
        <v>3</v>
      </c>
      <c r="AR3">
        <v>34.313668039105437</v>
      </c>
      <c r="AS3">
        <v>34.313668039105437</v>
      </c>
      <c r="AT3">
        <v>5.1425830650377122</v>
      </c>
      <c r="AU3">
        <v>3</v>
      </c>
      <c r="AV3">
        <v>3.4313668039105436</v>
      </c>
      <c r="AW3">
        <v>3.4313668039105436</v>
      </c>
      <c r="AX3">
        <v>0.51425830650377113</v>
      </c>
      <c r="AY3">
        <v>3</v>
      </c>
      <c r="AZ3">
        <v>0.6380000114440918</v>
      </c>
      <c r="BA3">
        <v>0.6380000114440918</v>
      </c>
      <c r="BB3">
        <v>9.353610790929491E-2</v>
      </c>
      <c r="BC3">
        <v>3</v>
      </c>
      <c r="BD3">
        <v>4.2926666736602783</v>
      </c>
      <c r="BE3">
        <v>4.2926666736602783</v>
      </c>
      <c r="BF3">
        <v>1.526085674822703</v>
      </c>
      <c r="BG3">
        <v>3</v>
      </c>
      <c r="BH3">
        <v>300.08666658401489</v>
      </c>
      <c r="BI3">
        <v>300.08666658401489</v>
      </c>
      <c r="BJ3">
        <v>6.8090617322127497E-2</v>
      </c>
      <c r="BK3">
        <v>3</v>
      </c>
      <c r="BL3">
        <v>296.23733488718671</v>
      </c>
      <c r="BM3">
        <v>296.23733488718671</v>
      </c>
      <c r="BN3">
        <v>0.58925388658409239</v>
      </c>
      <c r="BO3">
        <v>3</v>
      </c>
      <c r="BP3">
        <v>3.8493316968282065</v>
      </c>
      <c r="BQ3">
        <v>3.8493316968282065</v>
      </c>
      <c r="BR3">
        <v>0.52240526534680654</v>
      </c>
      <c r="BS3">
        <v>3</v>
      </c>
      <c r="BT3">
        <v>493.33333333333331</v>
      </c>
      <c r="BU3">
        <v>493.33333333333331</v>
      </c>
      <c r="BV3">
        <v>47.427137098219767</v>
      </c>
      <c r="BW3">
        <v>3</v>
      </c>
      <c r="BX3">
        <v>1</v>
      </c>
      <c r="BY3">
        <v>1</v>
      </c>
      <c r="BZ3">
        <v>0</v>
      </c>
      <c r="CA3">
        <v>3</v>
      </c>
      <c r="CB3">
        <v>67.333333333333329</v>
      </c>
      <c r="CC3">
        <v>67.333333333333329</v>
      </c>
      <c r="CD3">
        <v>10.408329997330664</v>
      </c>
      <c r="CE3">
        <v>3</v>
      </c>
      <c r="CF3">
        <v>151</v>
      </c>
      <c r="CG3">
        <v>151</v>
      </c>
      <c r="CH3">
        <v>20.420577856662138</v>
      </c>
      <c r="CI3">
        <v>3</v>
      </c>
      <c r="CJ3">
        <v>271.62333353360492</v>
      </c>
      <c r="CK3">
        <v>271.62333353360492</v>
      </c>
      <c r="CL3">
        <v>2.7657706954687149</v>
      </c>
      <c r="CM3">
        <v>3</v>
      </c>
      <c r="CN3">
        <v>36.333333333333336</v>
      </c>
      <c r="CO3">
        <v>36.333333333333336</v>
      </c>
      <c r="CP3">
        <v>4.932882862316248</v>
      </c>
      <c r="CQ3">
        <v>3</v>
      </c>
      <c r="CR3">
        <v>4.9333413441975914E-2</v>
      </c>
      <c r="CS3">
        <v>4.9333413441975914E-2</v>
      </c>
      <c r="CT3">
        <v>5.0331107883188697E-3</v>
      </c>
      <c r="CU3">
        <v>3</v>
      </c>
      <c r="CV3">
        <v>0</v>
      </c>
      <c r="CW3">
        <v>0</v>
      </c>
      <c r="CX3">
        <v>0</v>
      </c>
      <c r="CY3">
        <v>3</v>
      </c>
      <c r="CZ3">
        <v>0</v>
      </c>
      <c r="DA3">
        <v>0</v>
      </c>
      <c r="DB3">
        <v>0</v>
      </c>
      <c r="DC3">
        <v>3</v>
      </c>
      <c r="DD3">
        <v>20</v>
      </c>
      <c r="DE3">
        <v>20</v>
      </c>
      <c r="DF3">
        <v>0</v>
      </c>
      <c r="DG3">
        <v>3</v>
      </c>
      <c r="DH3">
        <v>19.333333333333332</v>
      </c>
      <c r="DI3">
        <v>19.333333333333332</v>
      </c>
      <c r="DJ3">
        <v>0.57735026918962584</v>
      </c>
      <c r="DK3">
        <v>3</v>
      </c>
      <c r="DL3">
        <v>31.333333333333332</v>
      </c>
      <c r="DM3">
        <v>31.333333333333332</v>
      </c>
      <c r="DN3">
        <v>0.57735026918962584</v>
      </c>
      <c r="DO3">
        <v>3</v>
      </c>
      <c r="DP3">
        <v>31.333333333333332</v>
      </c>
      <c r="DQ3">
        <v>31.333333333333332</v>
      </c>
      <c r="DR3">
        <v>0.57735026918962584</v>
      </c>
      <c r="DS3">
        <v>3</v>
      </c>
      <c r="DT3">
        <v>12</v>
      </c>
      <c r="DU3">
        <v>12</v>
      </c>
      <c r="DV3">
        <v>0</v>
      </c>
      <c r="DW3">
        <v>3</v>
      </c>
      <c r="DX3">
        <v>0</v>
      </c>
      <c r="DY3">
        <v>0</v>
      </c>
      <c r="DZ3">
        <v>0</v>
      </c>
      <c r="EA3">
        <v>3</v>
      </c>
      <c r="EB3">
        <v>7.666666666666667</v>
      </c>
      <c r="EC3">
        <v>7.666666666666667</v>
      </c>
      <c r="ED3">
        <v>0.57735026918962584</v>
      </c>
      <c r="EE3">
        <v>3</v>
      </c>
      <c r="EF3">
        <v>0</v>
      </c>
      <c r="EG3">
        <v>0</v>
      </c>
      <c r="EH3">
        <v>0</v>
      </c>
      <c r="EI3">
        <v>3</v>
      </c>
      <c r="EJ3">
        <v>0</v>
      </c>
      <c r="EK3">
        <v>0</v>
      </c>
      <c r="EL3">
        <v>0</v>
      </c>
      <c r="EM3">
        <v>3</v>
      </c>
      <c r="EN3">
        <v>0</v>
      </c>
      <c r="EO3">
        <v>0</v>
      </c>
      <c r="EP3">
        <v>0</v>
      </c>
      <c r="EQ3">
        <v>3</v>
      </c>
      <c r="ER3">
        <v>0</v>
      </c>
      <c r="ES3">
        <v>0</v>
      </c>
      <c r="ET3">
        <v>0</v>
      </c>
    </row>
    <row r="4" spans="1:150" x14ac:dyDescent="0.25">
      <c r="A4" t="s">
        <v>326</v>
      </c>
      <c r="B4">
        <v>0.4</v>
      </c>
      <c r="C4">
        <v>3</v>
      </c>
      <c r="D4">
        <v>3</v>
      </c>
      <c r="E4">
        <v>3</v>
      </c>
      <c r="F4">
        <v>0</v>
      </c>
      <c r="G4">
        <v>3</v>
      </c>
      <c r="H4">
        <v>0</v>
      </c>
      <c r="I4">
        <v>100</v>
      </c>
      <c r="J4">
        <v>0</v>
      </c>
      <c r="K4">
        <v>3</v>
      </c>
      <c r="L4">
        <v>601.85654960561726</v>
      </c>
      <c r="M4">
        <v>601.85654960561726</v>
      </c>
      <c r="N4">
        <v>19.608855313321154</v>
      </c>
      <c r="O4">
        <v>3</v>
      </c>
      <c r="P4">
        <v>587.91106221899656</v>
      </c>
      <c r="Q4">
        <v>587.91106221899656</v>
      </c>
      <c r="R4">
        <v>0.13517850266312906</v>
      </c>
      <c r="S4">
        <v>3</v>
      </c>
      <c r="T4">
        <v>198.60577549049762</v>
      </c>
      <c r="U4">
        <v>198.60577549049762</v>
      </c>
      <c r="V4">
        <v>0</v>
      </c>
      <c r="W4">
        <v>3</v>
      </c>
      <c r="X4">
        <v>66.218396752075279</v>
      </c>
      <c r="Y4">
        <v>66.218396752075279</v>
      </c>
      <c r="Z4">
        <v>7.7663794887912335E-3</v>
      </c>
      <c r="AA4">
        <v>3</v>
      </c>
      <c r="AB4">
        <v>442.55261043141491</v>
      </c>
      <c r="AC4">
        <v>442.55261043141491</v>
      </c>
      <c r="AD4">
        <v>0.12134036234698627</v>
      </c>
      <c r="AE4">
        <v>3</v>
      </c>
      <c r="AF4">
        <v>15.18503276676349</v>
      </c>
      <c r="AG4">
        <v>15.18503276676349</v>
      </c>
      <c r="AH4">
        <v>2.1755839288168292E-15</v>
      </c>
      <c r="AI4">
        <v>3</v>
      </c>
      <c r="AJ4">
        <v>118.55261043141134</v>
      </c>
      <c r="AK4">
        <v>118.55261043141134</v>
      </c>
      <c r="AL4">
        <v>0.12134036234673193</v>
      </c>
      <c r="AM4">
        <v>3</v>
      </c>
      <c r="AN4">
        <v>0</v>
      </c>
      <c r="AO4">
        <v>0</v>
      </c>
      <c r="AP4">
        <v>0</v>
      </c>
      <c r="AQ4">
        <v>3</v>
      </c>
      <c r="AR4">
        <v>116.20808589406947</v>
      </c>
      <c r="AS4">
        <v>116.20808589406947</v>
      </c>
      <c r="AT4">
        <v>1.0750222203062032</v>
      </c>
      <c r="AU4">
        <v>3</v>
      </c>
      <c r="AV4">
        <v>11.620808589406948</v>
      </c>
      <c r="AW4">
        <v>11.620808589406948</v>
      </c>
      <c r="AX4">
        <v>0.10750222203062093</v>
      </c>
      <c r="AY4">
        <v>3</v>
      </c>
      <c r="AZ4">
        <v>1.8019999663035076</v>
      </c>
      <c r="BA4">
        <v>1.8019999663035076</v>
      </c>
      <c r="BB4">
        <v>6.9202644668630658E-2</v>
      </c>
      <c r="BC4">
        <v>3</v>
      </c>
      <c r="BD4">
        <v>28.480666557947796</v>
      </c>
      <c r="BE4">
        <v>28.480666557947796</v>
      </c>
      <c r="BF4">
        <v>1.5055581416978165</v>
      </c>
      <c r="BG4">
        <v>3</v>
      </c>
      <c r="BH4">
        <v>300.08899998664856</v>
      </c>
      <c r="BI4">
        <v>300.08899998664856</v>
      </c>
      <c r="BJ4">
        <v>5.3113073055923256E-2</v>
      </c>
      <c r="BK4">
        <v>3</v>
      </c>
      <c r="BL4">
        <v>295.49266624450684</v>
      </c>
      <c r="BM4">
        <v>295.49266624450684</v>
      </c>
      <c r="BN4">
        <v>0.23301971513883282</v>
      </c>
      <c r="BO4">
        <v>3</v>
      </c>
      <c r="BP4">
        <v>4.5963337421417236</v>
      </c>
      <c r="BQ4">
        <v>4.5963337421417236</v>
      </c>
      <c r="BR4">
        <v>0.2237568691471935</v>
      </c>
      <c r="BS4">
        <v>3</v>
      </c>
      <c r="BT4">
        <v>484.66666666666669</v>
      </c>
      <c r="BU4">
        <v>484.66666666666669</v>
      </c>
      <c r="BV4">
        <v>29.280255007996999</v>
      </c>
      <c r="BW4">
        <v>3</v>
      </c>
      <c r="BX4">
        <v>1</v>
      </c>
      <c r="BY4">
        <v>1</v>
      </c>
      <c r="BZ4">
        <v>0</v>
      </c>
      <c r="CA4">
        <v>3</v>
      </c>
      <c r="CB4">
        <v>68.333333333333329</v>
      </c>
      <c r="CC4">
        <v>68.333333333333329</v>
      </c>
      <c r="CD4">
        <v>8.5049005481153834</v>
      </c>
      <c r="CE4">
        <v>3</v>
      </c>
      <c r="CF4">
        <v>152.33333333333334</v>
      </c>
      <c r="CG4">
        <v>152.33333333333334</v>
      </c>
      <c r="CH4">
        <v>16.441816606851365</v>
      </c>
      <c r="CI4">
        <v>3</v>
      </c>
      <c r="CJ4">
        <v>263.07700045903522</v>
      </c>
      <c r="CK4">
        <v>263.07700045903522</v>
      </c>
      <c r="CL4">
        <v>2.4719717649823965</v>
      </c>
      <c r="CM4">
        <v>3</v>
      </c>
      <c r="CN4">
        <v>28.666666666666668</v>
      </c>
      <c r="CO4">
        <v>28.666666666666668</v>
      </c>
      <c r="CP4">
        <v>3.2145502536643185</v>
      </c>
      <c r="CQ4">
        <v>3</v>
      </c>
      <c r="CR4">
        <v>4.0999809900919594E-2</v>
      </c>
      <c r="CS4">
        <v>4.0999809900919594E-2</v>
      </c>
      <c r="CT4">
        <v>1.2165603632545628E-2</v>
      </c>
      <c r="CU4">
        <v>3</v>
      </c>
      <c r="CV4">
        <v>0</v>
      </c>
      <c r="CW4">
        <v>0</v>
      </c>
      <c r="CX4">
        <v>0</v>
      </c>
      <c r="CY4">
        <v>3</v>
      </c>
      <c r="CZ4">
        <v>0.33333333333333331</v>
      </c>
      <c r="DA4">
        <v>0.33333333333333331</v>
      </c>
      <c r="DB4">
        <v>0.57735026918962584</v>
      </c>
      <c r="DC4">
        <v>3</v>
      </c>
      <c r="DD4">
        <v>20</v>
      </c>
      <c r="DE4">
        <v>20</v>
      </c>
      <c r="DF4">
        <v>0</v>
      </c>
      <c r="DG4">
        <v>3</v>
      </c>
      <c r="DH4">
        <v>10.333333333333334</v>
      </c>
      <c r="DI4">
        <v>10.333333333333334</v>
      </c>
      <c r="DJ4">
        <v>1.5275252316519468</v>
      </c>
      <c r="DK4">
        <v>3</v>
      </c>
      <c r="DL4">
        <v>22.333333333333332</v>
      </c>
      <c r="DM4">
        <v>22.333333333333332</v>
      </c>
      <c r="DN4">
        <v>1.5275252316519468</v>
      </c>
      <c r="DO4">
        <v>3</v>
      </c>
      <c r="DP4">
        <v>22.333333333333332</v>
      </c>
      <c r="DQ4">
        <v>22.333333333333332</v>
      </c>
      <c r="DR4">
        <v>1.5275252316519468</v>
      </c>
      <c r="DS4">
        <v>3</v>
      </c>
      <c r="DT4">
        <v>14</v>
      </c>
      <c r="DU4">
        <v>14</v>
      </c>
      <c r="DV4">
        <v>3.4641016151377544</v>
      </c>
      <c r="DW4">
        <v>3</v>
      </c>
      <c r="DX4">
        <v>1.3333333333333333</v>
      </c>
      <c r="DY4">
        <v>1.3333333333333333</v>
      </c>
      <c r="DZ4">
        <v>0.57735026918962573</v>
      </c>
      <c r="EA4">
        <v>3</v>
      </c>
      <c r="EB4">
        <v>7.666666666666667</v>
      </c>
      <c r="EC4">
        <v>7.666666666666667</v>
      </c>
      <c r="ED4">
        <v>0.57735026918962584</v>
      </c>
      <c r="EE4">
        <v>3</v>
      </c>
      <c r="EF4">
        <v>0</v>
      </c>
      <c r="EG4">
        <v>0</v>
      </c>
      <c r="EH4">
        <v>0</v>
      </c>
      <c r="EI4">
        <v>3</v>
      </c>
      <c r="EJ4">
        <v>0</v>
      </c>
      <c r="EK4">
        <v>0</v>
      </c>
      <c r="EL4">
        <v>0</v>
      </c>
      <c r="EM4">
        <v>3</v>
      </c>
      <c r="EN4">
        <v>0</v>
      </c>
      <c r="EO4">
        <v>0</v>
      </c>
      <c r="EP4">
        <v>0</v>
      </c>
      <c r="EQ4">
        <v>3</v>
      </c>
      <c r="ER4">
        <v>0</v>
      </c>
      <c r="ES4">
        <v>0</v>
      </c>
      <c r="ET4">
        <v>0</v>
      </c>
    </row>
    <row r="5" spans="1:150" x14ac:dyDescent="0.25">
      <c r="A5" t="s">
        <v>327</v>
      </c>
      <c r="B5">
        <v>0.4</v>
      </c>
      <c r="C5">
        <v>3</v>
      </c>
      <c r="D5">
        <v>3</v>
      </c>
      <c r="E5">
        <v>3</v>
      </c>
      <c r="F5">
        <v>0</v>
      </c>
      <c r="G5">
        <v>3</v>
      </c>
      <c r="H5">
        <v>0</v>
      </c>
      <c r="I5">
        <v>100</v>
      </c>
      <c r="J5">
        <v>0</v>
      </c>
      <c r="K5">
        <v>3</v>
      </c>
      <c r="L5">
        <v>315.24466609387196</v>
      </c>
      <c r="M5">
        <v>315.24466609387196</v>
      </c>
      <c r="N5">
        <v>4.8199877630142796</v>
      </c>
      <c r="O5">
        <v>3</v>
      </c>
      <c r="P5">
        <v>300.81722010008224</v>
      </c>
      <c r="Q5">
        <v>300.81722010008224</v>
      </c>
      <c r="R5">
        <v>8.3450521202257377E-2</v>
      </c>
      <c r="S5">
        <v>3</v>
      </c>
      <c r="T5">
        <v>206.15233155639535</v>
      </c>
      <c r="U5">
        <v>206.15233155639535</v>
      </c>
      <c r="V5">
        <v>20.487393607806407</v>
      </c>
      <c r="W5">
        <v>3</v>
      </c>
      <c r="X5">
        <v>31.467991791911647</v>
      </c>
      <c r="Y5">
        <v>31.467991791911647</v>
      </c>
      <c r="Z5">
        <v>6.8303787527056636</v>
      </c>
      <c r="AA5">
        <v>3</v>
      </c>
      <c r="AB5">
        <v>300.81722010008224</v>
      </c>
      <c r="AC5">
        <v>300.81722010008224</v>
      </c>
      <c r="AD5">
        <v>8.3450521202257377E-2</v>
      </c>
      <c r="AE5">
        <v>3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3</v>
      </c>
      <c r="AN5">
        <v>0</v>
      </c>
      <c r="AO5">
        <v>0</v>
      </c>
      <c r="AP5">
        <v>0</v>
      </c>
      <c r="AQ5">
        <v>3</v>
      </c>
      <c r="AR5">
        <v>0</v>
      </c>
      <c r="AS5">
        <v>0</v>
      </c>
      <c r="AT5">
        <v>0</v>
      </c>
      <c r="AU5">
        <v>3</v>
      </c>
      <c r="AV5">
        <v>0</v>
      </c>
      <c r="AW5">
        <v>0</v>
      </c>
      <c r="AX5">
        <v>0</v>
      </c>
      <c r="AY5">
        <v>3</v>
      </c>
      <c r="AZ5">
        <v>7.5666666030883789E-2</v>
      </c>
      <c r="BA5">
        <v>7.5666666030883789E-2</v>
      </c>
      <c r="BB5">
        <v>1.3051322305136679E-2</v>
      </c>
      <c r="BC5">
        <v>3</v>
      </c>
      <c r="BD5">
        <v>0.66599996884663903</v>
      </c>
      <c r="BE5">
        <v>0.66599996884663903</v>
      </c>
      <c r="BF5">
        <v>0.63623571653693567</v>
      </c>
      <c r="BG5">
        <v>3</v>
      </c>
      <c r="BH5">
        <v>300.21133327484131</v>
      </c>
      <c r="BI5">
        <v>300.21133327484131</v>
      </c>
      <c r="BJ5">
        <v>0.17878559681291847</v>
      </c>
      <c r="BK5">
        <v>3</v>
      </c>
      <c r="BL5">
        <v>296.7573351065318</v>
      </c>
      <c r="BM5">
        <v>296.7573351065318</v>
      </c>
      <c r="BN5">
        <v>0.64271414787661518</v>
      </c>
      <c r="BO5">
        <v>3</v>
      </c>
      <c r="BP5">
        <v>3.4539981683095298</v>
      </c>
      <c r="BQ5">
        <v>3.4539981683095298</v>
      </c>
      <c r="BR5">
        <v>0.59803954517482694</v>
      </c>
      <c r="BS5">
        <v>3</v>
      </c>
      <c r="BT5">
        <v>584</v>
      </c>
      <c r="BU5">
        <v>584</v>
      </c>
      <c r="BV5">
        <v>102.05880657738459</v>
      </c>
      <c r="BW5">
        <v>3</v>
      </c>
      <c r="BX5">
        <v>1</v>
      </c>
      <c r="BY5">
        <v>1</v>
      </c>
      <c r="BZ5">
        <v>0</v>
      </c>
      <c r="CA5">
        <v>3</v>
      </c>
      <c r="CB5">
        <v>46.333333333333336</v>
      </c>
      <c r="CC5">
        <v>46.333333333333336</v>
      </c>
      <c r="CD5">
        <v>7.0237691685684931</v>
      </c>
      <c r="CE5">
        <v>3</v>
      </c>
      <c r="CF5">
        <v>155</v>
      </c>
      <c r="CG5">
        <v>155</v>
      </c>
      <c r="CH5">
        <v>21.071307505705477</v>
      </c>
      <c r="CI5">
        <v>3</v>
      </c>
      <c r="CJ5">
        <v>293.41166766484577</v>
      </c>
      <c r="CK5">
        <v>293.41166766484577</v>
      </c>
      <c r="CL5">
        <v>1.4923947111260516</v>
      </c>
      <c r="CM5">
        <v>3</v>
      </c>
      <c r="CN5">
        <v>62</v>
      </c>
      <c r="CO5">
        <v>62</v>
      </c>
      <c r="CP5">
        <v>11.269427669584644</v>
      </c>
      <c r="CQ5">
        <v>3</v>
      </c>
      <c r="CR5">
        <v>5.7999849319458008E-2</v>
      </c>
      <c r="CS5">
        <v>5.7999849319458008E-2</v>
      </c>
      <c r="CT5">
        <v>8.5433984979395305E-3</v>
      </c>
      <c r="CU5">
        <v>3</v>
      </c>
      <c r="CV5">
        <v>0</v>
      </c>
      <c r="CW5">
        <v>0</v>
      </c>
      <c r="CX5">
        <v>0</v>
      </c>
      <c r="CY5">
        <v>3</v>
      </c>
      <c r="CZ5">
        <v>0</v>
      </c>
      <c r="DA5">
        <v>0</v>
      </c>
      <c r="DB5">
        <v>0</v>
      </c>
      <c r="DC5">
        <v>3</v>
      </c>
      <c r="DD5">
        <v>20</v>
      </c>
      <c r="DE5">
        <v>20</v>
      </c>
      <c r="DF5">
        <v>0</v>
      </c>
      <c r="DG5">
        <v>3</v>
      </c>
      <c r="DH5">
        <v>16</v>
      </c>
      <c r="DI5">
        <v>16</v>
      </c>
      <c r="DJ5">
        <v>4</v>
      </c>
      <c r="DK5">
        <v>3</v>
      </c>
      <c r="DL5">
        <v>28</v>
      </c>
      <c r="DM5">
        <v>28</v>
      </c>
      <c r="DN5">
        <v>4</v>
      </c>
      <c r="DO5">
        <v>3</v>
      </c>
      <c r="DP5">
        <v>28</v>
      </c>
      <c r="DQ5">
        <v>28</v>
      </c>
      <c r="DR5">
        <v>4</v>
      </c>
      <c r="DS5">
        <v>3</v>
      </c>
      <c r="DT5">
        <v>12</v>
      </c>
      <c r="DU5">
        <v>12</v>
      </c>
      <c r="DV5">
        <v>0</v>
      </c>
      <c r="DW5">
        <v>3</v>
      </c>
      <c r="DX5">
        <v>0</v>
      </c>
      <c r="DY5">
        <v>0</v>
      </c>
      <c r="DZ5">
        <v>0</v>
      </c>
      <c r="EA5">
        <v>3</v>
      </c>
      <c r="EB5">
        <v>4.333333333333333</v>
      </c>
      <c r="EC5">
        <v>4.333333333333333</v>
      </c>
      <c r="ED5">
        <v>0.57735026918962584</v>
      </c>
      <c r="EE5">
        <v>3</v>
      </c>
      <c r="EF5">
        <v>0</v>
      </c>
      <c r="EG5">
        <v>0</v>
      </c>
      <c r="EH5">
        <v>0</v>
      </c>
      <c r="EI5">
        <v>3</v>
      </c>
      <c r="EJ5">
        <v>0</v>
      </c>
      <c r="EK5">
        <v>0</v>
      </c>
      <c r="EL5">
        <v>0</v>
      </c>
      <c r="EM5">
        <v>3</v>
      </c>
      <c r="EN5">
        <v>0</v>
      </c>
      <c r="EO5">
        <v>0</v>
      </c>
      <c r="EP5">
        <v>0</v>
      </c>
      <c r="EQ5">
        <v>3</v>
      </c>
      <c r="ER5">
        <v>0</v>
      </c>
      <c r="ES5">
        <v>0</v>
      </c>
      <c r="ET5">
        <v>0</v>
      </c>
    </row>
    <row r="6" spans="1:150" x14ac:dyDescent="0.25">
      <c r="A6" t="s">
        <v>328</v>
      </c>
      <c r="B6">
        <v>0.4</v>
      </c>
      <c r="C6">
        <v>3</v>
      </c>
      <c r="D6">
        <v>3</v>
      </c>
      <c r="E6">
        <v>3</v>
      </c>
      <c r="F6">
        <v>0</v>
      </c>
      <c r="G6">
        <v>3</v>
      </c>
      <c r="H6">
        <v>0</v>
      </c>
      <c r="I6">
        <v>100</v>
      </c>
      <c r="J6">
        <v>0</v>
      </c>
      <c r="K6">
        <v>3</v>
      </c>
      <c r="L6">
        <v>366.12996731191606</v>
      </c>
      <c r="M6">
        <v>366.12996731191606</v>
      </c>
      <c r="N6">
        <v>6.811241382993944</v>
      </c>
      <c r="O6">
        <v>3</v>
      </c>
      <c r="P6">
        <v>345.09952757477123</v>
      </c>
      <c r="Q6">
        <v>345.09952757477123</v>
      </c>
      <c r="R6">
        <v>0.23025711454652892</v>
      </c>
      <c r="S6">
        <v>3</v>
      </c>
      <c r="T6">
        <v>186.14292133321524</v>
      </c>
      <c r="U6">
        <v>186.14292133321524</v>
      </c>
      <c r="V6">
        <v>0</v>
      </c>
      <c r="W6">
        <v>3</v>
      </c>
      <c r="X6">
        <v>46.06107463906941</v>
      </c>
      <c r="Y6">
        <v>46.06107463906941</v>
      </c>
      <c r="Z6">
        <v>3.6002968771310408E-2</v>
      </c>
      <c r="AA6">
        <v>3</v>
      </c>
      <c r="AB6">
        <v>345.09952757477123</v>
      </c>
      <c r="AC6">
        <v>345.09952757477123</v>
      </c>
      <c r="AD6">
        <v>0.23025711454652892</v>
      </c>
      <c r="AE6">
        <v>3</v>
      </c>
      <c r="AF6">
        <v>0</v>
      </c>
      <c r="AG6">
        <v>0</v>
      </c>
      <c r="AH6">
        <v>0</v>
      </c>
      <c r="AI6">
        <v>3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3</v>
      </c>
      <c r="AV6">
        <v>0</v>
      </c>
      <c r="AW6">
        <v>0</v>
      </c>
      <c r="AX6">
        <v>0</v>
      </c>
      <c r="AY6">
        <v>3</v>
      </c>
      <c r="AZ6">
        <v>0.11966665585835774</v>
      </c>
      <c r="BA6">
        <v>0.11966665585835774</v>
      </c>
      <c r="BB6">
        <v>6.8068621343611198E-3</v>
      </c>
      <c r="BC6">
        <v>3</v>
      </c>
      <c r="BD6">
        <v>2.628000020980835</v>
      </c>
      <c r="BE6">
        <v>2.628000020980835</v>
      </c>
      <c r="BF6">
        <v>1.1357676775239105</v>
      </c>
      <c r="BG6">
        <v>3</v>
      </c>
      <c r="BH6">
        <v>300.1663333574931</v>
      </c>
      <c r="BI6">
        <v>300.1663333574931</v>
      </c>
      <c r="BJ6">
        <v>9.7725795588386899E-2</v>
      </c>
      <c r="BK6">
        <v>3</v>
      </c>
      <c r="BL6">
        <v>295.86099966367084</v>
      </c>
      <c r="BM6">
        <v>295.86099966367084</v>
      </c>
      <c r="BN6">
        <v>0.40958866447944403</v>
      </c>
      <c r="BO6">
        <v>3</v>
      </c>
      <c r="BP6">
        <v>4.3053336938222246</v>
      </c>
      <c r="BQ6">
        <v>4.3053336938222246</v>
      </c>
      <c r="BR6">
        <v>0.31325933497144787</v>
      </c>
      <c r="BS6">
        <v>3</v>
      </c>
      <c r="BT6">
        <v>541</v>
      </c>
      <c r="BU6">
        <v>541</v>
      </c>
      <c r="BV6">
        <v>19.974984355438178</v>
      </c>
      <c r="BW6">
        <v>3</v>
      </c>
      <c r="BX6">
        <v>1</v>
      </c>
      <c r="BY6">
        <v>1</v>
      </c>
      <c r="BZ6">
        <v>0</v>
      </c>
      <c r="CA6">
        <v>3</v>
      </c>
      <c r="CB6">
        <v>30.666666666666668</v>
      </c>
      <c r="CC6">
        <v>30.666666666666668</v>
      </c>
      <c r="CD6">
        <v>2.0816659994661331</v>
      </c>
      <c r="CE6">
        <v>3</v>
      </c>
      <c r="CF6">
        <v>111</v>
      </c>
      <c r="CG6">
        <v>111</v>
      </c>
      <c r="CH6">
        <v>6.2449979983983983</v>
      </c>
      <c r="CI6">
        <v>3</v>
      </c>
      <c r="CJ6">
        <v>291.62199934323627</v>
      </c>
      <c r="CK6">
        <v>291.62199934323627</v>
      </c>
      <c r="CL6">
        <v>0.74023543722187013</v>
      </c>
      <c r="CM6">
        <v>3</v>
      </c>
      <c r="CN6">
        <v>62.666666666666664</v>
      </c>
      <c r="CO6">
        <v>62.666666666666664</v>
      </c>
      <c r="CP6">
        <v>2.0816659994661326</v>
      </c>
      <c r="CQ6">
        <v>3</v>
      </c>
      <c r="CR6">
        <v>6.8333466847737626E-2</v>
      </c>
      <c r="CS6">
        <v>6.8333466847737626E-2</v>
      </c>
      <c r="CT6">
        <v>5.0331581829211654E-3</v>
      </c>
      <c r="CU6">
        <v>3</v>
      </c>
      <c r="CV6">
        <v>0</v>
      </c>
      <c r="CW6">
        <v>0</v>
      </c>
      <c r="CX6">
        <v>0</v>
      </c>
      <c r="CY6">
        <v>3</v>
      </c>
      <c r="CZ6">
        <v>0</v>
      </c>
      <c r="DA6">
        <v>0</v>
      </c>
      <c r="DB6">
        <v>0</v>
      </c>
      <c r="DC6">
        <v>3</v>
      </c>
      <c r="DD6">
        <v>20</v>
      </c>
      <c r="DE6">
        <v>20</v>
      </c>
      <c r="DF6">
        <v>0</v>
      </c>
      <c r="DG6">
        <v>3</v>
      </c>
      <c r="DH6">
        <v>19.333333333333332</v>
      </c>
      <c r="DI6">
        <v>19.333333333333332</v>
      </c>
      <c r="DJ6">
        <v>0.57735026918962584</v>
      </c>
      <c r="DK6">
        <v>3</v>
      </c>
      <c r="DL6">
        <v>33.666666666666664</v>
      </c>
      <c r="DM6">
        <v>33.666666666666664</v>
      </c>
      <c r="DN6">
        <v>2.5166114784235831</v>
      </c>
      <c r="DO6">
        <v>3</v>
      </c>
      <c r="DP6">
        <v>33.666666666666664</v>
      </c>
      <c r="DQ6">
        <v>33.666666666666664</v>
      </c>
      <c r="DR6">
        <v>2.5166114784235831</v>
      </c>
      <c r="DS6">
        <v>3</v>
      </c>
      <c r="DT6">
        <v>14.333333333333334</v>
      </c>
      <c r="DU6">
        <v>14.333333333333334</v>
      </c>
      <c r="DV6">
        <v>2.0816659994661331</v>
      </c>
      <c r="DW6">
        <v>3</v>
      </c>
      <c r="DX6">
        <v>1</v>
      </c>
      <c r="DY6">
        <v>1</v>
      </c>
      <c r="DZ6">
        <v>1</v>
      </c>
      <c r="EA6">
        <v>3</v>
      </c>
      <c r="EB6">
        <v>6</v>
      </c>
      <c r="EC6">
        <v>6</v>
      </c>
      <c r="ED6">
        <v>0</v>
      </c>
      <c r="EE6">
        <v>3</v>
      </c>
      <c r="EF6">
        <v>0</v>
      </c>
      <c r="EG6">
        <v>0</v>
      </c>
      <c r="EH6">
        <v>0</v>
      </c>
      <c r="EI6">
        <v>3</v>
      </c>
      <c r="EJ6">
        <v>0</v>
      </c>
      <c r="EK6">
        <v>0</v>
      </c>
      <c r="EL6">
        <v>0</v>
      </c>
      <c r="EM6">
        <v>3</v>
      </c>
      <c r="EN6">
        <v>0</v>
      </c>
      <c r="EO6">
        <v>0</v>
      </c>
      <c r="EP6">
        <v>0</v>
      </c>
      <c r="EQ6">
        <v>3</v>
      </c>
      <c r="ER6">
        <v>0</v>
      </c>
      <c r="ES6">
        <v>0</v>
      </c>
      <c r="ET6">
        <v>0</v>
      </c>
    </row>
    <row r="7" spans="1:150" x14ac:dyDescent="0.25">
      <c r="A7" t="s">
        <v>329</v>
      </c>
      <c r="B7">
        <v>0.4</v>
      </c>
      <c r="C7">
        <v>3</v>
      </c>
      <c r="D7">
        <v>3</v>
      </c>
      <c r="E7">
        <v>3</v>
      </c>
      <c r="F7">
        <v>0</v>
      </c>
      <c r="G7">
        <v>3</v>
      </c>
      <c r="H7">
        <v>0</v>
      </c>
      <c r="I7">
        <v>100</v>
      </c>
      <c r="J7">
        <v>0</v>
      </c>
      <c r="K7">
        <v>3</v>
      </c>
      <c r="L7">
        <v>600.03916734354254</v>
      </c>
      <c r="M7">
        <v>600.03916734354254</v>
      </c>
      <c r="N7">
        <v>12.799672990028578</v>
      </c>
      <c r="O7">
        <v>3</v>
      </c>
      <c r="P7">
        <v>572.73326863296586</v>
      </c>
      <c r="Q7">
        <v>572.73326863296586</v>
      </c>
      <c r="R7">
        <v>8.1539858910047798</v>
      </c>
      <c r="S7">
        <v>3</v>
      </c>
      <c r="T7">
        <v>216.07661590871575</v>
      </c>
      <c r="U7">
        <v>216.07661590871575</v>
      </c>
      <c r="V7">
        <v>0</v>
      </c>
      <c r="W7">
        <v>3</v>
      </c>
      <c r="X7">
        <v>62.267625512286081</v>
      </c>
      <c r="Y7">
        <v>62.267625512286081</v>
      </c>
      <c r="Z7">
        <v>0.53802121357338062</v>
      </c>
      <c r="AA7">
        <v>3</v>
      </c>
      <c r="AB7">
        <v>517.14071049276151</v>
      </c>
      <c r="AC7">
        <v>517.14071049276151</v>
      </c>
      <c r="AD7">
        <v>4.2729385243179836</v>
      </c>
      <c r="AE7">
        <v>3</v>
      </c>
      <c r="AF7">
        <v>17.992577011948917</v>
      </c>
      <c r="AG7">
        <v>17.992577011948917</v>
      </c>
      <c r="AH7">
        <v>2.4314046385793873</v>
      </c>
      <c r="AI7">
        <v>3</v>
      </c>
      <c r="AJ7">
        <v>35.308670027573989</v>
      </c>
      <c r="AK7">
        <v>35.308670027573989</v>
      </c>
      <c r="AL7">
        <v>5.4345227573279988</v>
      </c>
      <c r="AM7">
        <v>3</v>
      </c>
      <c r="AN7">
        <v>0</v>
      </c>
      <c r="AO7">
        <v>0</v>
      </c>
      <c r="AP7">
        <v>0</v>
      </c>
      <c r="AQ7">
        <v>3</v>
      </c>
      <c r="AR7">
        <v>22.913111006814649</v>
      </c>
      <c r="AS7">
        <v>22.913111006814649</v>
      </c>
      <c r="AT7">
        <v>6.4745496293777087</v>
      </c>
      <c r="AU7">
        <v>3</v>
      </c>
      <c r="AV7">
        <v>2.2913111006814648</v>
      </c>
      <c r="AW7">
        <v>2.2913111006814648</v>
      </c>
      <c r="AX7">
        <v>0.64745496293777072</v>
      </c>
      <c r="AY7">
        <v>3</v>
      </c>
      <c r="AZ7">
        <v>1.9179999828338623</v>
      </c>
      <c r="BA7">
        <v>1.9179999828338623</v>
      </c>
      <c r="BB7">
        <v>0.73439230895597274</v>
      </c>
      <c r="BC7">
        <v>3</v>
      </c>
      <c r="BD7">
        <v>18.261666615804035</v>
      </c>
      <c r="BE7">
        <v>18.261666615804035</v>
      </c>
      <c r="BF7">
        <v>5.5472660209181672</v>
      </c>
      <c r="BG7">
        <v>3</v>
      </c>
      <c r="BH7">
        <v>300.13099996248883</v>
      </c>
      <c r="BI7">
        <v>300.13099996248883</v>
      </c>
      <c r="BJ7">
        <v>7.480624733216823E-2</v>
      </c>
      <c r="BK7">
        <v>3</v>
      </c>
      <c r="BL7">
        <v>295.05066593488056</v>
      </c>
      <c r="BM7">
        <v>295.05066593488056</v>
      </c>
      <c r="BN7">
        <v>0.42460752554311093</v>
      </c>
      <c r="BO7">
        <v>3</v>
      </c>
      <c r="BP7">
        <v>5.0803340276082354</v>
      </c>
      <c r="BQ7">
        <v>5.0803340276082354</v>
      </c>
      <c r="BR7">
        <v>0.38280501203686529</v>
      </c>
      <c r="BS7">
        <v>3</v>
      </c>
      <c r="BT7">
        <v>575</v>
      </c>
      <c r="BU7">
        <v>575</v>
      </c>
      <c r="BV7">
        <v>45.923850012820139</v>
      </c>
      <c r="BW7">
        <v>3</v>
      </c>
      <c r="BX7">
        <v>1</v>
      </c>
      <c r="BY7">
        <v>1</v>
      </c>
      <c r="BZ7">
        <v>0</v>
      </c>
      <c r="CA7">
        <v>3</v>
      </c>
      <c r="CB7">
        <v>38</v>
      </c>
      <c r="CC7">
        <v>38</v>
      </c>
      <c r="CD7">
        <v>7.9372539331937721</v>
      </c>
      <c r="CE7">
        <v>3</v>
      </c>
      <c r="CF7">
        <v>131</v>
      </c>
      <c r="CG7">
        <v>131</v>
      </c>
      <c r="CH7">
        <v>22.869193252058544</v>
      </c>
      <c r="CI7">
        <v>3</v>
      </c>
      <c r="CJ7">
        <v>269.59766666094464</v>
      </c>
      <c r="CK7">
        <v>269.59766666094464</v>
      </c>
      <c r="CL7">
        <v>6.2434457682272804</v>
      </c>
      <c r="CM7">
        <v>3</v>
      </c>
      <c r="CN7">
        <v>66.333333333333329</v>
      </c>
      <c r="CO7">
        <v>66.333333333333329</v>
      </c>
      <c r="CP7">
        <v>3.214550253664318</v>
      </c>
      <c r="CQ7">
        <v>3</v>
      </c>
      <c r="CR7">
        <v>0.13066657384236655</v>
      </c>
      <c r="CS7">
        <v>0.13066657384236655</v>
      </c>
      <c r="CT7">
        <v>4.7962219672829404E-2</v>
      </c>
      <c r="CU7">
        <v>3</v>
      </c>
      <c r="CV7">
        <v>0</v>
      </c>
      <c r="CW7">
        <v>0</v>
      </c>
      <c r="CX7">
        <v>0</v>
      </c>
      <c r="CY7">
        <v>3</v>
      </c>
      <c r="CZ7">
        <v>0.33333333333333331</v>
      </c>
      <c r="DA7">
        <v>0.33333333333333331</v>
      </c>
      <c r="DB7">
        <v>0.57735026918962584</v>
      </c>
      <c r="DC7">
        <v>3</v>
      </c>
      <c r="DD7">
        <v>20</v>
      </c>
      <c r="DE7">
        <v>20</v>
      </c>
      <c r="DF7">
        <v>0</v>
      </c>
      <c r="DG7">
        <v>3</v>
      </c>
      <c r="DH7">
        <v>7</v>
      </c>
      <c r="DI7">
        <v>7</v>
      </c>
      <c r="DJ7">
        <v>1</v>
      </c>
      <c r="DK7">
        <v>3</v>
      </c>
      <c r="DL7">
        <v>22</v>
      </c>
      <c r="DM7">
        <v>22</v>
      </c>
      <c r="DN7">
        <v>2</v>
      </c>
      <c r="DO7">
        <v>3</v>
      </c>
      <c r="DP7">
        <v>22</v>
      </c>
      <c r="DQ7">
        <v>22</v>
      </c>
      <c r="DR7">
        <v>2</v>
      </c>
      <c r="DS7">
        <v>3</v>
      </c>
      <c r="DT7">
        <v>15</v>
      </c>
      <c r="DU7">
        <v>15</v>
      </c>
      <c r="DV7">
        <v>3</v>
      </c>
      <c r="DW7">
        <v>3</v>
      </c>
      <c r="DX7">
        <v>3</v>
      </c>
      <c r="DY7">
        <v>3</v>
      </c>
      <c r="DZ7">
        <v>2</v>
      </c>
      <c r="EA7">
        <v>3</v>
      </c>
      <c r="EB7">
        <v>5.333333333333333</v>
      </c>
      <c r="EC7">
        <v>5.333333333333333</v>
      </c>
      <c r="ED7">
        <v>0.57735026918962584</v>
      </c>
      <c r="EE7">
        <v>3</v>
      </c>
      <c r="EF7">
        <v>0</v>
      </c>
      <c r="EG7">
        <v>0</v>
      </c>
      <c r="EH7">
        <v>0</v>
      </c>
      <c r="EI7">
        <v>3</v>
      </c>
      <c r="EJ7">
        <v>0</v>
      </c>
      <c r="EK7">
        <v>0</v>
      </c>
      <c r="EL7">
        <v>0</v>
      </c>
      <c r="EM7">
        <v>3</v>
      </c>
      <c r="EN7">
        <v>0</v>
      </c>
      <c r="EO7">
        <v>0</v>
      </c>
      <c r="EP7">
        <v>0</v>
      </c>
      <c r="EQ7">
        <v>3</v>
      </c>
      <c r="ER7">
        <v>0</v>
      </c>
      <c r="ES7">
        <v>0</v>
      </c>
      <c r="ET7">
        <v>0</v>
      </c>
    </row>
    <row r="8" spans="1:150" x14ac:dyDescent="0.25">
      <c r="A8" t="s">
        <v>330</v>
      </c>
      <c r="B8">
        <v>0.4</v>
      </c>
      <c r="C8">
        <v>3</v>
      </c>
      <c r="D8">
        <v>3</v>
      </c>
      <c r="E8">
        <v>3</v>
      </c>
      <c r="F8">
        <v>0</v>
      </c>
      <c r="G8">
        <v>3</v>
      </c>
      <c r="H8">
        <v>0</v>
      </c>
      <c r="I8">
        <v>100</v>
      </c>
      <c r="J8">
        <v>0</v>
      </c>
      <c r="K8">
        <v>3</v>
      </c>
      <c r="L8">
        <v>782.72307061024912</v>
      </c>
      <c r="M8">
        <v>782.72307061024912</v>
      </c>
      <c r="N8">
        <v>22.179878744891919</v>
      </c>
      <c r="O8">
        <v>3</v>
      </c>
      <c r="P8">
        <v>763.04314108259041</v>
      </c>
      <c r="Q8">
        <v>763.04314108259041</v>
      </c>
      <c r="R8">
        <v>12.194752022332931</v>
      </c>
      <c r="S8">
        <v>3</v>
      </c>
      <c r="T8">
        <v>244.45193705037391</v>
      </c>
      <c r="U8">
        <v>244.45193705037391</v>
      </c>
      <c r="V8">
        <v>3.4809342861069267E-14</v>
      </c>
      <c r="W8">
        <v>3</v>
      </c>
      <c r="X8">
        <v>67.95814337986215</v>
      </c>
      <c r="Y8">
        <v>67.95814337986215</v>
      </c>
      <c r="Z8">
        <v>0.50741715721110914</v>
      </c>
      <c r="AA8">
        <v>3</v>
      </c>
      <c r="AB8">
        <v>606.38178335995474</v>
      </c>
      <c r="AC8">
        <v>606.38178335995474</v>
      </c>
      <c r="AD8">
        <v>0.34767398577641095</v>
      </c>
      <c r="AE8">
        <v>3</v>
      </c>
      <c r="AF8">
        <v>25.892755420057131</v>
      </c>
      <c r="AG8">
        <v>25.892755420057131</v>
      </c>
      <c r="AH8">
        <v>11.252105753122656</v>
      </c>
      <c r="AI8">
        <v>3</v>
      </c>
      <c r="AJ8">
        <v>120.38178335995325</v>
      </c>
      <c r="AK8">
        <v>120.38178335995325</v>
      </c>
      <c r="AL8">
        <v>0.34767398577793096</v>
      </c>
      <c r="AM8">
        <v>3</v>
      </c>
      <c r="AN8">
        <v>0</v>
      </c>
      <c r="AO8">
        <v>0</v>
      </c>
      <c r="AP8">
        <v>0</v>
      </c>
      <c r="AQ8">
        <v>3</v>
      </c>
      <c r="AR8">
        <v>103.86818942625354</v>
      </c>
      <c r="AS8">
        <v>103.86818942625354</v>
      </c>
      <c r="AT8">
        <v>16.141464960529227</v>
      </c>
      <c r="AU8">
        <v>3</v>
      </c>
      <c r="AV8">
        <v>10.386818942625354</v>
      </c>
      <c r="AW8">
        <v>10.386818942625354</v>
      </c>
      <c r="AX8">
        <v>1.614146496052923</v>
      </c>
      <c r="AY8">
        <v>3</v>
      </c>
      <c r="AZ8">
        <v>4.2156666914621992</v>
      </c>
      <c r="BA8">
        <v>4.2156666914621992</v>
      </c>
      <c r="BB8">
        <v>1.6489846247393309</v>
      </c>
      <c r="BC8">
        <v>3</v>
      </c>
      <c r="BD8">
        <v>55.102333307266235</v>
      </c>
      <c r="BE8">
        <v>55.102333307266235</v>
      </c>
      <c r="BF8">
        <v>6.5120830333616011</v>
      </c>
      <c r="BG8">
        <v>3</v>
      </c>
      <c r="BH8">
        <v>300.08799990018207</v>
      </c>
      <c r="BI8">
        <v>300.08799990018207</v>
      </c>
      <c r="BJ8">
        <v>8.3210530704970087E-2</v>
      </c>
      <c r="BK8">
        <v>3</v>
      </c>
      <c r="BL8">
        <v>293.36433172225952</v>
      </c>
      <c r="BM8">
        <v>293.36433172225952</v>
      </c>
      <c r="BN8">
        <v>0.47511372386108769</v>
      </c>
      <c r="BO8">
        <v>3</v>
      </c>
      <c r="BP8">
        <v>6.7236681779225664</v>
      </c>
      <c r="BQ8">
        <v>6.7236681779225664</v>
      </c>
      <c r="BR8">
        <v>0.49418323469219927</v>
      </c>
      <c r="BS8">
        <v>3</v>
      </c>
      <c r="BT8">
        <v>565</v>
      </c>
      <c r="BU8">
        <v>565</v>
      </c>
      <c r="BV8">
        <v>45.431266766402189</v>
      </c>
      <c r="BW8">
        <v>3</v>
      </c>
      <c r="BX8">
        <v>1</v>
      </c>
      <c r="BY8">
        <v>1</v>
      </c>
      <c r="BZ8">
        <v>0</v>
      </c>
      <c r="CA8">
        <v>3</v>
      </c>
      <c r="CB8">
        <v>49</v>
      </c>
      <c r="CC8">
        <v>49</v>
      </c>
      <c r="CD8">
        <v>4.358898943540674</v>
      </c>
      <c r="CE8">
        <v>3</v>
      </c>
      <c r="CF8">
        <v>158.66666666666666</v>
      </c>
      <c r="CG8">
        <v>158.66666666666666</v>
      </c>
      <c r="CH8">
        <v>11.930353445448853</v>
      </c>
      <c r="CI8">
        <v>3</v>
      </c>
      <c r="CJ8">
        <v>236.65033340454102</v>
      </c>
      <c r="CK8">
        <v>236.65033340454102</v>
      </c>
      <c r="CL8">
        <v>5.5131879650273463</v>
      </c>
      <c r="CM8">
        <v>3</v>
      </c>
      <c r="CN8">
        <v>48.666666666666664</v>
      </c>
      <c r="CO8">
        <v>48.666666666666664</v>
      </c>
      <c r="CP8">
        <v>11.718930554164629</v>
      </c>
      <c r="CQ8">
        <v>3</v>
      </c>
      <c r="CR8">
        <v>0.10666632652282715</v>
      </c>
      <c r="CS8">
        <v>0.10666632652282715</v>
      </c>
      <c r="CT8">
        <v>1.1150094618383009E-2</v>
      </c>
      <c r="CU8">
        <v>3</v>
      </c>
      <c r="CV8">
        <v>0</v>
      </c>
      <c r="CW8">
        <v>0</v>
      </c>
      <c r="CX8">
        <v>0</v>
      </c>
      <c r="CY8">
        <v>3</v>
      </c>
      <c r="CZ8">
        <v>0.33333333333333331</v>
      </c>
      <c r="DA8">
        <v>0.33333333333333331</v>
      </c>
      <c r="DB8">
        <v>0.57735026918962584</v>
      </c>
      <c r="DC8">
        <v>3</v>
      </c>
      <c r="DD8">
        <v>18.666666666666668</v>
      </c>
      <c r="DE8">
        <v>18.666666666666668</v>
      </c>
      <c r="DF8">
        <v>2.3094010767585034</v>
      </c>
      <c r="DG8">
        <v>3</v>
      </c>
      <c r="DH8">
        <v>6.333333333333333</v>
      </c>
      <c r="DI8">
        <v>6.333333333333333</v>
      </c>
      <c r="DJ8">
        <v>0.57735026918962584</v>
      </c>
      <c r="DK8">
        <v>3</v>
      </c>
      <c r="DL8">
        <v>14.666666666666666</v>
      </c>
      <c r="DM8">
        <v>14.666666666666666</v>
      </c>
      <c r="DN8">
        <v>0.57735026918962573</v>
      </c>
      <c r="DO8">
        <v>3</v>
      </c>
      <c r="DP8">
        <v>14.333333333333334</v>
      </c>
      <c r="DQ8">
        <v>14.333333333333334</v>
      </c>
      <c r="DR8">
        <v>0.57735026918962573</v>
      </c>
      <c r="DS8">
        <v>3</v>
      </c>
      <c r="DT8">
        <v>8.3333333333333339</v>
      </c>
      <c r="DU8">
        <v>8.3333333333333339</v>
      </c>
      <c r="DV8">
        <v>0.57735026918962573</v>
      </c>
      <c r="DW8">
        <v>3</v>
      </c>
      <c r="DX8">
        <v>1.6666666666666667</v>
      </c>
      <c r="DY8">
        <v>1.6666666666666667</v>
      </c>
      <c r="DZ8">
        <v>0.57735026918962573</v>
      </c>
      <c r="EA8">
        <v>3</v>
      </c>
      <c r="EB8">
        <v>3.6666666666666665</v>
      </c>
      <c r="EC8">
        <v>3.6666666666666665</v>
      </c>
      <c r="ED8">
        <v>0.57735026918962584</v>
      </c>
      <c r="EE8">
        <v>3</v>
      </c>
      <c r="EF8">
        <v>0</v>
      </c>
      <c r="EG8">
        <v>0</v>
      </c>
      <c r="EH8">
        <v>0</v>
      </c>
      <c r="EI8">
        <v>3</v>
      </c>
      <c r="EJ8">
        <v>0</v>
      </c>
      <c r="EK8">
        <v>0</v>
      </c>
      <c r="EL8">
        <v>0</v>
      </c>
      <c r="EM8">
        <v>3</v>
      </c>
      <c r="EN8">
        <v>0</v>
      </c>
      <c r="EO8">
        <v>0</v>
      </c>
      <c r="EP8">
        <v>0</v>
      </c>
      <c r="EQ8">
        <v>3</v>
      </c>
      <c r="ER8">
        <v>0</v>
      </c>
      <c r="ES8">
        <v>0</v>
      </c>
      <c r="ET8">
        <v>0</v>
      </c>
    </row>
    <row r="9" spans="1:150" x14ac:dyDescent="0.25">
      <c r="A9" t="s">
        <v>331</v>
      </c>
      <c r="B9">
        <v>0.4</v>
      </c>
      <c r="C9">
        <v>3</v>
      </c>
      <c r="D9">
        <v>3</v>
      </c>
      <c r="E9">
        <v>3</v>
      </c>
      <c r="F9">
        <v>0</v>
      </c>
      <c r="G9">
        <v>3</v>
      </c>
      <c r="H9">
        <v>0</v>
      </c>
      <c r="I9">
        <v>100</v>
      </c>
      <c r="J9">
        <v>0</v>
      </c>
      <c r="K9">
        <v>3</v>
      </c>
      <c r="L9">
        <v>292.64293845705384</v>
      </c>
      <c r="M9">
        <v>292.64293845705384</v>
      </c>
      <c r="N9">
        <v>5.7751261896587094</v>
      </c>
      <c r="O9">
        <v>3</v>
      </c>
      <c r="P9">
        <v>285.9871658305542</v>
      </c>
      <c r="Q9">
        <v>285.9871658305542</v>
      </c>
      <c r="R9">
        <v>5.6843418860808015E-14</v>
      </c>
      <c r="S9">
        <v>3</v>
      </c>
      <c r="T9">
        <v>136.25532489093351</v>
      </c>
      <c r="U9">
        <v>136.25532489093351</v>
      </c>
      <c r="V9">
        <v>0</v>
      </c>
      <c r="W9">
        <v>3</v>
      </c>
      <c r="X9">
        <v>52.356140005365127</v>
      </c>
      <c r="Y9">
        <v>52.356140005365127</v>
      </c>
      <c r="Z9">
        <v>7.1054273576010019E-15</v>
      </c>
      <c r="AA9">
        <v>3</v>
      </c>
      <c r="AB9">
        <v>285.9871658305542</v>
      </c>
      <c r="AC9">
        <v>285.9871658305542</v>
      </c>
      <c r="AD9">
        <v>5.6843418860808015E-14</v>
      </c>
      <c r="AE9">
        <v>3</v>
      </c>
      <c r="AF9">
        <v>0</v>
      </c>
      <c r="AG9">
        <v>0</v>
      </c>
      <c r="AH9">
        <v>0</v>
      </c>
      <c r="AI9">
        <v>3</v>
      </c>
      <c r="AJ9">
        <v>0</v>
      </c>
      <c r="AK9">
        <v>0</v>
      </c>
      <c r="AL9">
        <v>0</v>
      </c>
      <c r="AM9">
        <v>3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3</v>
      </c>
      <c r="AV9">
        <v>0</v>
      </c>
      <c r="AW9">
        <v>0</v>
      </c>
      <c r="AX9">
        <v>0</v>
      </c>
      <c r="AY9">
        <v>3</v>
      </c>
      <c r="AZ9">
        <v>8.3000024159749344E-2</v>
      </c>
      <c r="BA9">
        <v>8.3000024159749344E-2</v>
      </c>
      <c r="BB9">
        <v>5.2914795532642868E-3</v>
      </c>
      <c r="BC9">
        <v>3</v>
      </c>
      <c r="BD9">
        <v>1.312666654586792</v>
      </c>
      <c r="BE9">
        <v>1.312666654586792</v>
      </c>
      <c r="BF9">
        <v>1.7237343614862424</v>
      </c>
      <c r="BG9">
        <v>3</v>
      </c>
      <c r="BH9">
        <v>300.13266666730243</v>
      </c>
      <c r="BI9">
        <v>300.13266666730243</v>
      </c>
      <c r="BJ9">
        <v>9.6774759756841813E-2</v>
      </c>
      <c r="BK9">
        <v>3</v>
      </c>
      <c r="BL9">
        <v>298.84399954477948</v>
      </c>
      <c r="BM9">
        <v>298.84399954477948</v>
      </c>
      <c r="BN9">
        <v>0.24557000493156197</v>
      </c>
      <c r="BO9">
        <v>3</v>
      </c>
      <c r="BP9">
        <v>1.28866712252299</v>
      </c>
      <c r="BQ9">
        <v>1.28866712252299</v>
      </c>
      <c r="BR9">
        <v>0.32922649398707127</v>
      </c>
      <c r="BS9">
        <v>3</v>
      </c>
      <c r="BT9">
        <v>304</v>
      </c>
      <c r="BU9">
        <v>304</v>
      </c>
      <c r="BV9">
        <v>76</v>
      </c>
      <c r="BW9">
        <v>3</v>
      </c>
      <c r="BX9">
        <v>1</v>
      </c>
      <c r="BY9">
        <v>1</v>
      </c>
      <c r="BZ9">
        <v>0</v>
      </c>
      <c r="CA9">
        <v>3</v>
      </c>
      <c r="CB9">
        <v>5.666666666666667</v>
      </c>
      <c r="CC9">
        <v>5.666666666666667</v>
      </c>
      <c r="CD9">
        <v>2.8867513459481287</v>
      </c>
      <c r="CE9">
        <v>3</v>
      </c>
      <c r="CF9">
        <v>39</v>
      </c>
      <c r="CG9">
        <v>39</v>
      </c>
      <c r="CH9">
        <v>17.320508075688775</v>
      </c>
      <c r="CI9">
        <v>3</v>
      </c>
      <c r="CJ9">
        <v>296.85200047492981</v>
      </c>
      <c r="CK9">
        <v>296.85200047492981</v>
      </c>
      <c r="CL9">
        <v>0.34564349141436673</v>
      </c>
      <c r="CM9">
        <v>3</v>
      </c>
      <c r="CN9">
        <v>49.333333333333336</v>
      </c>
      <c r="CO9">
        <v>49.333333333333336</v>
      </c>
      <c r="CP9">
        <v>5.0332229568471671</v>
      </c>
      <c r="CQ9">
        <v>3</v>
      </c>
      <c r="CR9">
        <v>4.833261171976725E-2</v>
      </c>
      <c r="CS9">
        <v>4.833261171976725E-2</v>
      </c>
      <c r="CT9">
        <v>2.0817061145380579E-3</v>
      </c>
      <c r="CU9">
        <v>3</v>
      </c>
      <c r="CV9">
        <v>0</v>
      </c>
      <c r="CW9">
        <v>0</v>
      </c>
      <c r="CX9">
        <v>0</v>
      </c>
      <c r="CY9">
        <v>3</v>
      </c>
      <c r="CZ9">
        <v>0</v>
      </c>
      <c r="DA9">
        <v>0</v>
      </c>
      <c r="DB9">
        <v>0</v>
      </c>
      <c r="DC9">
        <v>3</v>
      </c>
      <c r="DD9">
        <v>20</v>
      </c>
      <c r="DE9">
        <v>20</v>
      </c>
      <c r="DF9">
        <v>0</v>
      </c>
      <c r="DG9">
        <v>3</v>
      </c>
      <c r="DH9">
        <v>20</v>
      </c>
      <c r="DI9">
        <v>20</v>
      </c>
      <c r="DJ9">
        <v>0</v>
      </c>
      <c r="DK9">
        <v>3</v>
      </c>
      <c r="DL9">
        <v>32</v>
      </c>
      <c r="DM9">
        <v>32</v>
      </c>
      <c r="DN9">
        <v>0</v>
      </c>
      <c r="DO9">
        <v>3</v>
      </c>
      <c r="DP9">
        <v>32</v>
      </c>
      <c r="DQ9">
        <v>32</v>
      </c>
      <c r="DR9">
        <v>0</v>
      </c>
      <c r="DS9">
        <v>3</v>
      </c>
      <c r="DT9">
        <v>12</v>
      </c>
      <c r="DU9">
        <v>12</v>
      </c>
      <c r="DV9">
        <v>0</v>
      </c>
      <c r="DW9">
        <v>3</v>
      </c>
      <c r="DX9">
        <v>0</v>
      </c>
      <c r="DY9">
        <v>0</v>
      </c>
      <c r="DZ9">
        <v>0</v>
      </c>
      <c r="EA9">
        <v>3</v>
      </c>
      <c r="EB9">
        <v>2.3333333333333335</v>
      </c>
      <c r="EC9">
        <v>2.3333333333333335</v>
      </c>
      <c r="ED9">
        <v>2.3094010767585034</v>
      </c>
      <c r="EE9">
        <v>3</v>
      </c>
      <c r="EF9">
        <v>0</v>
      </c>
      <c r="EG9">
        <v>0</v>
      </c>
      <c r="EH9">
        <v>0</v>
      </c>
      <c r="EI9">
        <v>3</v>
      </c>
      <c r="EJ9">
        <v>0</v>
      </c>
      <c r="EK9">
        <v>0</v>
      </c>
      <c r="EL9">
        <v>0</v>
      </c>
      <c r="EM9">
        <v>3</v>
      </c>
      <c r="EN9">
        <v>0</v>
      </c>
      <c r="EO9">
        <v>0</v>
      </c>
      <c r="EP9">
        <v>0</v>
      </c>
      <c r="EQ9">
        <v>3</v>
      </c>
      <c r="ER9">
        <v>0</v>
      </c>
      <c r="ES9">
        <v>0</v>
      </c>
      <c r="ET9">
        <v>0</v>
      </c>
    </row>
    <row r="10" spans="1:150" x14ac:dyDescent="0.25">
      <c r="A10" t="s">
        <v>332</v>
      </c>
      <c r="B10">
        <v>0.4</v>
      </c>
      <c r="C10">
        <v>3</v>
      </c>
      <c r="D10">
        <v>3</v>
      </c>
      <c r="E10">
        <v>3</v>
      </c>
      <c r="F10">
        <v>0</v>
      </c>
      <c r="G10">
        <v>3</v>
      </c>
      <c r="H10">
        <v>0</v>
      </c>
      <c r="I10">
        <v>100</v>
      </c>
      <c r="J10">
        <v>0</v>
      </c>
      <c r="K10">
        <v>3</v>
      </c>
      <c r="L10">
        <v>400.57661743302629</v>
      </c>
      <c r="M10">
        <v>400.57661743302629</v>
      </c>
      <c r="N10">
        <v>22.516799714008769</v>
      </c>
      <c r="O10">
        <v>3</v>
      </c>
      <c r="P10">
        <v>378.68476281332022</v>
      </c>
      <c r="Q10">
        <v>378.68476281332022</v>
      </c>
      <c r="R10">
        <v>1.1646802811498167</v>
      </c>
      <c r="S10">
        <v>3</v>
      </c>
      <c r="T10">
        <v>188.26924411640289</v>
      </c>
      <c r="U10">
        <v>188.26924411640289</v>
      </c>
      <c r="V10">
        <v>0</v>
      </c>
      <c r="W10">
        <v>3</v>
      </c>
      <c r="X10">
        <v>50.28307194383774</v>
      </c>
      <c r="Y10">
        <v>50.28307194383774</v>
      </c>
      <c r="Z10">
        <v>0.1528710923138781</v>
      </c>
      <c r="AA10">
        <v>3</v>
      </c>
      <c r="AB10">
        <v>378.68476281332022</v>
      </c>
      <c r="AC10">
        <v>378.68476281332022</v>
      </c>
      <c r="AD10">
        <v>1.1646802811498167</v>
      </c>
      <c r="AE10">
        <v>3</v>
      </c>
      <c r="AF10">
        <v>0</v>
      </c>
      <c r="AG10">
        <v>0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3</v>
      </c>
      <c r="AZ10">
        <v>0.11133321126302083</v>
      </c>
      <c r="BA10">
        <v>0.11133321126302083</v>
      </c>
      <c r="BB10">
        <v>9.0737140247156168E-3</v>
      </c>
      <c r="BC10">
        <v>3</v>
      </c>
      <c r="BD10">
        <v>3.119666576385498</v>
      </c>
      <c r="BE10">
        <v>3.119666576385498</v>
      </c>
      <c r="BF10">
        <v>2.5646739168013406</v>
      </c>
      <c r="BG10">
        <v>3</v>
      </c>
      <c r="BH10">
        <v>300.08166654904682</v>
      </c>
      <c r="BI10">
        <v>300.08166654904682</v>
      </c>
      <c r="BJ10">
        <v>8.1684416849253774E-2</v>
      </c>
      <c r="BK10">
        <v>3</v>
      </c>
      <c r="BL10">
        <v>295.49366585413617</v>
      </c>
      <c r="BM10">
        <v>295.49366585413617</v>
      </c>
      <c r="BN10">
        <v>0.36077779066165044</v>
      </c>
      <c r="BO10">
        <v>3</v>
      </c>
      <c r="BP10">
        <v>4.5880006949106855</v>
      </c>
      <c r="BQ10">
        <v>4.5880006949106855</v>
      </c>
      <c r="BR10">
        <v>0.28149460364312051</v>
      </c>
      <c r="BS10">
        <v>3</v>
      </c>
      <c r="BT10">
        <v>808</v>
      </c>
      <c r="BU10">
        <v>808</v>
      </c>
      <c r="BV10">
        <v>26.229754097208001</v>
      </c>
      <c r="BW10">
        <v>3</v>
      </c>
      <c r="BX10">
        <v>1</v>
      </c>
      <c r="BY10">
        <v>1</v>
      </c>
      <c r="BZ10">
        <v>0</v>
      </c>
      <c r="CA10">
        <v>3</v>
      </c>
      <c r="CB10">
        <v>31.333333333333332</v>
      </c>
      <c r="CC10">
        <v>31.333333333333332</v>
      </c>
      <c r="CD10">
        <v>3.0550504633038935</v>
      </c>
      <c r="CE10">
        <v>3</v>
      </c>
      <c r="CF10">
        <v>141.66666666666666</v>
      </c>
      <c r="CG10">
        <v>141.66666666666666</v>
      </c>
      <c r="CH10">
        <v>11.676186592091328</v>
      </c>
      <c r="CI10">
        <v>3</v>
      </c>
      <c r="CJ10">
        <v>291.28266684214276</v>
      </c>
      <c r="CK10">
        <v>291.28266684214276</v>
      </c>
      <c r="CL10">
        <v>0.36018466390034293</v>
      </c>
      <c r="CM10">
        <v>3</v>
      </c>
      <c r="CN10">
        <v>95.666666666666671</v>
      </c>
      <c r="CO10">
        <v>95.666666666666671</v>
      </c>
      <c r="CP10">
        <v>19.857828011475306</v>
      </c>
      <c r="CQ10">
        <v>3</v>
      </c>
      <c r="CR10">
        <v>0.10366654396057129</v>
      </c>
      <c r="CS10">
        <v>0.10366654396057129</v>
      </c>
      <c r="CT10">
        <v>1.7615950913919307E-2</v>
      </c>
      <c r="CU10">
        <v>3</v>
      </c>
      <c r="CV10">
        <v>0</v>
      </c>
      <c r="CW10">
        <v>0</v>
      </c>
      <c r="CX10">
        <v>0</v>
      </c>
      <c r="CY10">
        <v>3</v>
      </c>
      <c r="CZ10">
        <v>0</v>
      </c>
      <c r="DA10">
        <v>0</v>
      </c>
      <c r="DB10">
        <v>0</v>
      </c>
      <c r="DC10">
        <v>3</v>
      </c>
      <c r="DD10">
        <v>20</v>
      </c>
      <c r="DE10">
        <v>20</v>
      </c>
      <c r="DF10">
        <v>0</v>
      </c>
      <c r="DG10">
        <v>3</v>
      </c>
      <c r="DH10">
        <v>20</v>
      </c>
      <c r="DI10">
        <v>20</v>
      </c>
      <c r="DJ10">
        <v>0</v>
      </c>
      <c r="DK10">
        <v>3</v>
      </c>
      <c r="DL10">
        <v>33</v>
      </c>
      <c r="DM10">
        <v>33</v>
      </c>
      <c r="DN10">
        <v>1.7320508075688772</v>
      </c>
      <c r="DO10">
        <v>3</v>
      </c>
      <c r="DP10">
        <v>33</v>
      </c>
      <c r="DQ10">
        <v>33</v>
      </c>
      <c r="DR10">
        <v>1.7320508075688772</v>
      </c>
      <c r="DS10">
        <v>3</v>
      </c>
      <c r="DT10">
        <v>13</v>
      </c>
      <c r="DU10">
        <v>13</v>
      </c>
      <c r="DV10">
        <v>1.7320508075688772</v>
      </c>
      <c r="DW10">
        <v>3</v>
      </c>
      <c r="DX10">
        <v>0.33333333333333331</v>
      </c>
      <c r="DY10">
        <v>0.33333333333333331</v>
      </c>
      <c r="DZ10">
        <v>0.57735026918962584</v>
      </c>
      <c r="EA10">
        <v>3</v>
      </c>
      <c r="EB10">
        <v>4</v>
      </c>
      <c r="EC10">
        <v>4</v>
      </c>
      <c r="ED10">
        <v>0</v>
      </c>
      <c r="EE10">
        <v>3</v>
      </c>
      <c r="EF10">
        <v>0</v>
      </c>
      <c r="EG10">
        <v>0</v>
      </c>
      <c r="EH10">
        <v>0</v>
      </c>
      <c r="EI10">
        <v>3</v>
      </c>
      <c r="EJ10">
        <v>0</v>
      </c>
      <c r="EK10">
        <v>0</v>
      </c>
      <c r="EL10">
        <v>0</v>
      </c>
      <c r="EM10">
        <v>3</v>
      </c>
      <c r="EN10">
        <v>0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0</v>
      </c>
    </row>
    <row r="11" spans="1:150" x14ac:dyDescent="0.25">
      <c r="A11" t="s">
        <v>333</v>
      </c>
      <c r="B11">
        <v>0.4</v>
      </c>
      <c r="C11">
        <v>3</v>
      </c>
      <c r="D11">
        <v>3</v>
      </c>
      <c r="E11">
        <v>3</v>
      </c>
      <c r="F11">
        <v>0</v>
      </c>
      <c r="G11">
        <v>3</v>
      </c>
      <c r="H11">
        <v>0</v>
      </c>
      <c r="I11">
        <v>100</v>
      </c>
      <c r="J11">
        <v>0</v>
      </c>
      <c r="K11">
        <v>3</v>
      </c>
      <c r="L11">
        <v>537.21752885241233</v>
      </c>
      <c r="M11">
        <v>537.21752885241233</v>
      </c>
      <c r="N11">
        <v>10.975581871715837</v>
      </c>
      <c r="O11">
        <v>3</v>
      </c>
      <c r="P11">
        <v>496.14561623160495</v>
      </c>
      <c r="Q11">
        <v>496.14561623160495</v>
      </c>
      <c r="R11">
        <v>8.3589739265992886</v>
      </c>
      <c r="S11">
        <v>3</v>
      </c>
      <c r="T11">
        <v>226.6822794638687</v>
      </c>
      <c r="U11">
        <v>226.6822794638687</v>
      </c>
      <c r="V11">
        <v>0</v>
      </c>
      <c r="W11">
        <v>3</v>
      </c>
      <c r="X11">
        <v>54.302776746203854</v>
      </c>
      <c r="Y11">
        <v>54.302776746203854</v>
      </c>
      <c r="Z11">
        <v>0.76248203039469176</v>
      </c>
      <c r="AA11">
        <v>3</v>
      </c>
      <c r="AB11">
        <v>496.14561623160495</v>
      </c>
      <c r="AC11">
        <v>496.14561623160495</v>
      </c>
      <c r="AD11">
        <v>8.3589739265992886</v>
      </c>
      <c r="AE11">
        <v>3</v>
      </c>
      <c r="AF11">
        <v>0</v>
      </c>
      <c r="AG11">
        <v>0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3</v>
      </c>
      <c r="AV11">
        <v>0</v>
      </c>
      <c r="AW11">
        <v>0</v>
      </c>
      <c r="AX11">
        <v>0</v>
      </c>
      <c r="AY11">
        <v>3</v>
      </c>
      <c r="AZ11">
        <v>0.22833331425984701</v>
      </c>
      <c r="BA11">
        <v>0.22833331425984701</v>
      </c>
      <c r="BB11">
        <v>1.2740850545274426E-2</v>
      </c>
      <c r="BC11">
        <v>3</v>
      </c>
      <c r="BD11">
        <v>4.2463333606719971</v>
      </c>
      <c r="BE11">
        <v>4.2463333606719971</v>
      </c>
      <c r="BF11">
        <v>0.37310889596187347</v>
      </c>
      <c r="BG11">
        <v>3</v>
      </c>
      <c r="BH11">
        <v>300.11533331871033</v>
      </c>
      <c r="BI11">
        <v>300.11533331871033</v>
      </c>
      <c r="BJ11">
        <v>4.9803002371692551E-2</v>
      </c>
      <c r="BK11">
        <v>3</v>
      </c>
      <c r="BL11">
        <v>295.16666642824811</v>
      </c>
      <c r="BM11">
        <v>295.16666642824811</v>
      </c>
      <c r="BN11">
        <v>0.21264284713606474</v>
      </c>
      <c r="BO11">
        <v>3</v>
      </c>
      <c r="BP11">
        <v>4.9486668904622393</v>
      </c>
      <c r="BQ11">
        <v>4.9486668904622393</v>
      </c>
      <c r="BR11">
        <v>0.17238850631030217</v>
      </c>
      <c r="BS11">
        <v>3</v>
      </c>
      <c r="BT11">
        <v>608</v>
      </c>
      <c r="BU11">
        <v>608</v>
      </c>
      <c r="BV11">
        <v>93.209441581848353</v>
      </c>
      <c r="BW11">
        <v>3</v>
      </c>
      <c r="BX11">
        <v>1</v>
      </c>
      <c r="BY11">
        <v>1</v>
      </c>
      <c r="BZ11">
        <v>0</v>
      </c>
      <c r="CA11">
        <v>3</v>
      </c>
      <c r="CB11">
        <v>12.666666666666666</v>
      </c>
      <c r="CC11">
        <v>12.666666666666666</v>
      </c>
      <c r="CD11">
        <v>4.1633319989322652</v>
      </c>
      <c r="CE11">
        <v>3</v>
      </c>
      <c r="CF11">
        <v>73</v>
      </c>
      <c r="CG11">
        <v>73</v>
      </c>
      <c r="CH11">
        <v>16.093476939431081</v>
      </c>
      <c r="CI11">
        <v>3</v>
      </c>
      <c r="CJ11">
        <v>291.27033313115436</v>
      </c>
      <c r="CK11">
        <v>291.27033313115436</v>
      </c>
      <c r="CL11">
        <v>0.286235982415944</v>
      </c>
      <c r="CM11">
        <v>3</v>
      </c>
      <c r="CN11">
        <v>71.333333333333329</v>
      </c>
      <c r="CO11">
        <v>71.333333333333329</v>
      </c>
      <c r="CP11">
        <v>11.503622617824931</v>
      </c>
      <c r="CQ11">
        <v>3</v>
      </c>
      <c r="CR11">
        <v>7.5333356857299805E-2</v>
      </c>
      <c r="CS11">
        <v>7.5333356857299805E-2</v>
      </c>
      <c r="CT11">
        <v>9.2920032710101692E-3</v>
      </c>
      <c r="CU11">
        <v>3</v>
      </c>
      <c r="CV11">
        <v>0</v>
      </c>
      <c r="CW11">
        <v>0</v>
      </c>
      <c r="CX11">
        <v>0</v>
      </c>
      <c r="CY11">
        <v>3</v>
      </c>
      <c r="CZ11">
        <v>0</v>
      </c>
      <c r="DA11">
        <v>0</v>
      </c>
      <c r="DB11">
        <v>0</v>
      </c>
      <c r="DC11">
        <v>3</v>
      </c>
      <c r="DD11">
        <v>20</v>
      </c>
      <c r="DE11">
        <v>20</v>
      </c>
      <c r="DF11">
        <v>0</v>
      </c>
      <c r="DG11">
        <v>3</v>
      </c>
      <c r="DH11">
        <v>15.333333333333334</v>
      </c>
      <c r="DI11">
        <v>15.333333333333334</v>
      </c>
      <c r="DJ11">
        <v>2.0816659994661326</v>
      </c>
      <c r="DK11">
        <v>3</v>
      </c>
      <c r="DL11">
        <v>31.666666666666668</v>
      </c>
      <c r="DM11">
        <v>31.666666666666668</v>
      </c>
      <c r="DN11">
        <v>2.5166114784235836</v>
      </c>
      <c r="DO11">
        <v>3</v>
      </c>
      <c r="DP11">
        <v>31.666666666666668</v>
      </c>
      <c r="DQ11">
        <v>31.666666666666668</v>
      </c>
      <c r="DR11">
        <v>2.5166114784235836</v>
      </c>
      <c r="DS11">
        <v>3</v>
      </c>
      <c r="DT11">
        <v>16.333333333333332</v>
      </c>
      <c r="DU11">
        <v>16.333333333333332</v>
      </c>
      <c r="DV11">
        <v>1.5275252316519465</v>
      </c>
      <c r="DW11">
        <v>3</v>
      </c>
      <c r="DX11">
        <v>3.3333333333333335</v>
      </c>
      <c r="DY11">
        <v>3.3333333333333335</v>
      </c>
      <c r="DZ11">
        <v>3.214550253664318</v>
      </c>
      <c r="EA11">
        <v>3</v>
      </c>
      <c r="EB11">
        <v>5</v>
      </c>
      <c r="EC11">
        <v>5</v>
      </c>
      <c r="ED11">
        <v>0</v>
      </c>
      <c r="EE11">
        <v>3</v>
      </c>
      <c r="EF11">
        <v>0</v>
      </c>
      <c r="EG11">
        <v>0</v>
      </c>
      <c r="EH11">
        <v>0</v>
      </c>
      <c r="EI11">
        <v>3</v>
      </c>
      <c r="EJ11">
        <v>0</v>
      </c>
      <c r="EK11">
        <v>0</v>
      </c>
      <c r="EL11">
        <v>0</v>
      </c>
      <c r="EM11">
        <v>3</v>
      </c>
      <c r="EN11">
        <v>0</v>
      </c>
      <c r="EO11">
        <v>0</v>
      </c>
      <c r="EP11">
        <v>0</v>
      </c>
      <c r="EQ11">
        <v>3</v>
      </c>
      <c r="ER11">
        <v>0</v>
      </c>
      <c r="ES11">
        <v>0</v>
      </c>
      <c r="ET11">
        <v>0</v>
      </c>
    </row>
    <row r="12" spans="1:150" x14ac:dyDescent="0.25">
      <c r="A12" t="s">
        <v>334</v>
      </c>
      <c r="B12">
        <v>0.4</v>
      </c>
      <c r="C12">
        <v>3</v>
      </c>
      <c r="D12">
        <v>3</v>
      </c>
      <c r="E12">
        <v>3</v>
      </c>
      <c r="F12">
        <v>0</v>
      </c>
      <c r="G12">
        <v>3</v>
      </c>
      <c r="H12">
        <v>0</v>
      </c>
      <c r="I12">
        <v>100</v>
      </c>
      <c r="J12">
        <v>0</v>
      </c>
      <c r="K12">
        <v>3</v>
      </c>
      <c r="L12">
        <v>623.53236879507415</v>
      </c>
      <c r="M12">
        <v>623.53236879507415</v>
      </c>
      <c r="N12">
        <v>44.153694451822631</v>
      </c>
      <c r="O12">
        <v>3</v>
      </c>
      <c r="P12">
        <v>587.96320333483038</v>
      </c>
      <c r="Q12">
        <v>587.96320333483038</v>
      </c>
      <c r="R12">
        <v>10.192635989730437</v>
      </c>
      <c r="S12">
        <v>3</v>
      </c>
      <c r="T12">
        <v>276.97828046515866</v>
      </c>
      <c r="U12">
        <v>276.97828046515866</v>
      </c>
      <c r="V12">
        <v>0</v>
      </c>
      <c r="W12">
        <v>3</v>
      </c>
      <c r="X12">
        <v>52.882461534975597</v>
      </c>
      <c r="Y12">
        <v>52.882461534975597</v>
      </c>
      <c r="Z12">
        <v>0.81692517821003519</v>
      </c>
      <c r="AA12">
        <v>3</v>
      </c>
      <c r="AB12">
        <v>587.96320333483038</v>
      </c>
      <c r="AC12">
        <v>587.96320333483038</v>
      </c>
      <c r="AD12">
        <v>10.192635989730437</v>
      </c>
      <c r="AE12">
        <v>3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3</v>
      </c>
      <c r="AN12">
        <v>0</v>
      </c>
      <c r="AO12">
        <v>0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3</v>
      </c>
      <c r="AV12">
        <v>0</v>
      </c>
      <c r="AW12">
        <v>0</v>
      </c>
      <c r="AX12">
        <v>0</v>
      </c>
      <c r="AY12">
        <v>3</v>
      </c>
      <c r="AZ12">
        <v>0.36133337020874023</v>
      </c>
      <c r="BA12">
        <v>0.36133337020874023</v>
      </c>
      <c r="BB12">
        <v>8.8001782088714176E-2</v>
      </c>
      <c r="BC12">
        <v>3</v>
      </c>
      <c r="BD12">
        <v>10.532000064849854</v>
      </c>
      <c r="BE12">
        <v>10.532000064849854</v>
      </c>
      <c r="BF12">
        <v>8.0287479557325181</v>
      </c>
      <c r="BG12">
        <v>3</v>
      </c>
      <c r="BH12">
        <v>300.29966672261554</v>
      </c>
      <c r="BI12">
        <v>300.29966672261554</v>
      </c>
      <c r="BJ12">
        <v>0.22191070326117121</v>
      </c>
      <c r="BK12">
        <v>3</v>
      </c>
      <c r="BL12">
        <v>292.1383324464162</v>
      </c>
      <c r="BM12">
        <v>292.1383324464162</v>
      </c>
      <c r="BN12">
        <v>0.90562116579019381</v>
      </c>
      <c r="BO12">
        <v>3</v>
      </c>
      <c r="BP12">
        <v>8.1613342761993408</v>
      </c>
      <c r="BQ12">
        <v>8.1613342761993408</v>
      </c>
      <c r="BR12">
        <v>1.0550343060416194</v>
      </c>
      <c r="BS12">
        <v>3</v>
      </c>
      <c r="BT12">
        <v>625.33333333333337</v>
      </c>
      <c r="BU12">
        <v>625.33333333333337</v>
      </c>
      <c r="BV12">
        <v>108.61552989022027</v>
      </c>
      <c r="BW12">
        <v>3</v>
      </c>
      <c r="BX12">
        <v>1</v>
      </c>
      <c r="BY12">
        <v>1</v>
      </c>
      <c r="BZ12">
        <v>0</v>
      </c>
      <c r="CA12">
        <v>3</v>
      </c>
      <c r="CB12">
        <v>18</v>
      </c>
      <c r="CC12">
        <v>18</v>
      </c>
      <c r="CD12">
        <v>6.2449979983983983</v>
      </c>
      <c r="CE12">
        <v>3</v>
      </c>
      <c r="CF12">
        <v>90.333333333333329</v>
      </c>
      <c r="CG12">
        <v>90.333333333333329</v>
      </c>
      <c r="CH12">
        <v>23.459184413217212</v>
      </c>
      <c r="CI12">
        <v>3</v>
      </c>
      <c r="CJ12">
        <v>279.78566662470502</v>
      </c>
      <c r="CK12">
        <v>279.78566662470502</v>
      </c>
      <c r="CL12">
        <v>3.641288223564954</v>
      </c>
      <c r="CM12">
        <v>3</v>
      </c>
      <c r="CN12">
        <v>77</v>
      </c>
      <c r="CO12">
        <v>77</v>
      </c>
      <c r="CP12">
        <v>19.467922333931785</v>
      </c>
      <c r="CQ12">
        <v>3</v>
      </c>
      <c r="CR12">
        <v>0.10599978764851888</v>
      </c>
      <c r="CS12">
        <v>0.10599978764851888</v>
      </c>
      <c r="CT12">
        <v>1.345260469029797E-2</v>
      </c>
      <c r="CU12">
        <v>3</v>
      </c>
      <c r="CV12">
        <v>0</v>
      </c>
      <c r="CW12">
        <v>0</v>
      </c>
      <c r="CX12">
        <v>0</v>
      </c>
      <c r="CY12">
        <v>3</v>
      </c>
      <c r="CZ12">
        <v>0</v>
      </c>
      <c r="DA12">
        <v>0</v>
      </c>
      <c r="DB12">
        <v>0</v>
      </c>
      <c r="DC12">
        <v>3</v>
      </c>
      <c r="DD12">
        <v>20</v>
      </c>
      <c r="DE12">
        <v>20</v>
      </c>
      <c r="DF12">
        <v>0</v>
      </c>
      <c r="DG12">
        <v>3</v>
      </c>
      <c r="DH12">
        <v>17.666666666666668</v>
      </c>
      <c r="DI12">
        <v>17.666666666666668</v>
      </c>
      <c r="DJ12">
        <v>1.5275252316519465</v>
      </c>
      <c r="DK12">
        <v>3</v>
      </c>
      <c r="DL12">
        <v>33.333333333333336</v>
      </c>
      <c r="DM12">
        <v>33.333333333333336</v>
      </c>
      <c r="DN12">
        <v>4.7258156262526088</v>
      </c>
      <c r="DO12">
        <v>3</v>
      </c>
      <c r="DP12">
        <v>33.333333333333336</v>
      </c>
      <c r="DQ12">
        <v>33.333333333333336</v>
      </c>
      <c r="DR12">
        <v>4.7258156262526088</v>
      </c>
      <c r="DS12">
        <v>3</v>
      </c>
      <c r="DT12">
        <v>15.666666666666666</v>
      </c>
      <c r="DU12">
        <v>15.666666666666666</v>
      </c>
      <c r="DV12">
        <v>3.214550253664318</v>
      </c>
      <c r="DW12">
        <v>3</v>
      </c>
      <c r="DX12">
        <v>2.6666666666666665</v>
      </c>
      <c r="DY12">
        <v>2.6666666666666665</v>
      </c>
      <c r="DZ12">
        <v>2.5166114784235836</v>
      </c>
      <c r="EA12">
        <v>3</v>
      </c>
      <c r="EB12">
        <v>4.333333333333333</v>
      </c>
      <c r="EC12">
        <v>4.333333333333333</v>
      </c>
      <c r="ED12">
        <v>0.57735026918962584</v>
      </c>
      <c r="EE12">
        <v>3</v>
      </c>
      <c r="EF12">
        <v>0</v>
      </c>
      <c r="EG12">
        <v>0</v>
      </c>
      <c r="EH12">
        <v>0</v>
      </c>
      <c r="EI12">
        <v>3</v>
      </c>
      <c r="EJ12">
        <v>0</v>
      </c>
      <c r="EK12">
        <v>0</v>
      </c>
      <c r="EL12">
        <v>0</v>
      </c>
      <c r="EM12">
        <v>3</v>
      </c>
      <c r="EN12">
        <v>0</v>
      </c>
      <c r="EO12">
        <v>0</v>
      </c>
      <c r="EP12">
        <v>0</v>
      </c>
      <c r="EQ12">
        <v>3</v>
      </c>
      <c r="ER12">
        <v>0</v>
      </c>
      <c r="ES12">
        <v>0</v>
      </c>
      <c r="ET12">
        <v>0</v>
      </c>
    </row>
    <row r="13" spans="1:150" x14ac:dyDescent="0.25">
      <c r="A13" t="s">
        <v>335</v>
      </c>
      <c r="B13">
        <v>0.4</v>
      </c>
      <c r="C13">
        <v>3</v>
      </c>
      <c r="D13">
        <v>3</v>
      </c>
      <c r="E13">
        <v>3</v>
      </c>
      <c r="F13">
        <v>0</v>
      </c>
      <c r="G13">
        <v>3</v>
      </c>
      <c r="H13">
        <v>0</v>
      </c>
      <c r="I13">
        <v>100</v>
      </c>
      <c r="J13">
        <v>0</v>
      </c>
      <c r="K13">
        <v>3</v>
      </c>
      <c r="L13">
        <v>855.54606220763355</v>
      </c>
      <c r="M13">
        <v>855.54606220763355</v>
      </c>
      <c r="N13">
        <v>23.366427502171703</v>
      </c>
      <c r="O13">
        <v>3</v>
      </c>
      <c r="P13">
        <v>778.80313927738769</v>
      </c>
      <c r="Q13">
        <v>778.80313927738769</v>
      </c>
      <c r="R13">
        <v>14.563834532606197</v>
      </c>
      <c r="S13">
        <v>3</v>
      </c>
      <c r="T13">
        <v>290.73492427992682</v>
      </c>
      <c r="U13">
        <v>290.73492427992682</v>
      </c>
      <c r="V13">
        <v>0</v>
      </c>
      <c r="W13">
        <v>3</v>
      </c>
      <c r="X13">
        <v>62.660349175718771</v>
      </c>
      <c r="Y13">
        <v>62.660349175718771</v>
      </c>
      <c r="Z13">
        <v>0.69471647839306505</v>
      </c>
      <c r="AA13">
        <v>3</v>
      </c>
      <c r="AB13">
        <v>698.57895854006802</v>
      </c>
      <c r="AC13">
        <v>698.57895854006802</v>
      </c>
      <c r="AD13">
        <v>3.8223299899274767</v>
      </c>
      <c r="AE13">
        <v>3</v>
      </c>
      <c r="AF13">
        <v>20.357723880973634</v>
      </c>
      <c r="AG13">
        <v>20.357723880973634</v>
      </c>
      <c r="AH13">
        <v>8.959363821672035</v>
      </c>
      <c r="AI13">
        <v>3</v>
      </c>
      <c r="AJ13">
        <v>52.896640195537309</v>
      </c>
      <c r="AK13">
        <v>52.896640195537309</v>
      </c>
      <c r="AL13">
        <v>5.2337456653498249</v>
      </c>
      <c r="AM13">
        <v>3</v>
      </c>
      <c r="AN13">
        <v>0</v>
      </c>
      <c r="AO13">
        <v>0</v>
      </c>
      <c r="AP13">
        <v>0</v>
      </c>
      <c r="AQ13">
        <v>3</v>
      </c>
      <c r="AR13">
        <v>69.698166608086851</v>
      </c>
      <c r="AS13">
        <v>69.698166608086851</v>
      </c>
      <c r="AT13">
        <v>28.184524984843733</v>
      </c>
      <c r="AU13">
        <v>3</v>
      </c>
      <c r="AV13">
        <v>6.9698166608086849</v>
      </c>
      <c r="AW13">
        <v>6.9698166608086849</v>
      </c>
      <c r="AX13">
        <v>2.8184524984843735</v>
      </c>
      <c r="AY13">
        <v>3</v>
      </c>
      <c r="AZ13">
        <v>4.6386666297912598</v>
      </c>
      <c r="BA13">
        <v>4.6386666297912598</v>
      </c>
      <c r="BB13">
        <v>3.1815760309169265</v>
      </c>
      <c r="BC13">
        <v>3</v>
      </c>
      <c r="BD13">
        <v>39.921333312988281</v>
      </c>
      <c r="BE13">
        <v>39.921333312988281</v>
      </c>
      <c r="BF13">
        <v>29.621368312443437</v>
      </c>
      <c r="BG13">
        <v>3</v>
      </c>
      <c r="BH13">
        <v>300.07466665903729</v>
      </c>
      <c r="BI13">
        <v>300.07466665903729</v>
      </c>
      <c r="BJ13">
        <v>6.9787752177991672E-2</v>
      </c>
      <c r="BK13">
        <v>3</v>
      </c>
      <c r="BL13">
        <v>290.79300101598102</v>
      </c>
      <c r="BM13">
        <v>290.79300101598102</v>
      </c>
      <c r="BN13">
        <v>0.6854739639542955</v>
      </c>
      <c r="BO13">
        <v>3</v>
      </c>
      <c r="BP13">
        <v>9.2816656430562343</v>
      </c>
      <c r="BQ13">
        <v>9.2816656430562343</v>
      </c>
      <c r="BR13">
        <v>0.66947673087929194</v>
      </c>
      <c r="BS13">
        <v>3</v>
      </c>
      <c r="BT13">
        <v>528</v>
      </c>
      <c r="BU13">
        <v>528</v>
      </c>
      <c r="BV13">
        <v>59.732738092272314</v>
      </c>
      <c r="BW13">
        <v>3</v>
      </c>
      <c r="BX13">
        <v>1</v>
      </c>
      <c r="BY13">
        <v>1</v>
      </c>
      <c r="BZ13">
        <v>0</v>
      </c>
      <c r="CA13">
        <v>3</v>
      </c>
      <c r="CB13">
        <v>17.666666666666668</v>
      </c>
      <c r="CC13">
        <v>17.666666666666668</v>
      </c>
      <c r="CD13">
        <v>3.7859388972001824</v>
      </c>
      <c r="CE13">
        <v>3</v>
      </c>
      <c r="CF13">
        <v>87</v>
      </c>
      <c r="CG13">
        <v>87</v>
      </c>
      <c r="CH13">
        <v>16.093476939431081</v>
      </c>
      <c r="CI13">
        <v>3</v>
      </c>
      <c r="CJ13">
        <v>234.12666718165079</v>
      </c>
      <c r="CK13">
        <v>234.12666718165079</v>
      </c>
      <c r="CL13">
        <v>1.220839831805191</v>
      </c>
      <c r="CM13">
        <v>3</v>
      </c>
      <c r="CN13">
        <v>104</v>
      </c>
      <c r="CO13">
        <v>104</v>
      </c>
      <c r="CP13">
        <v>35.930488446443363</v>
      </c>
      <c r="CQ13">
        <v>3</v>
      </c>
      <c r="CR13">
        <v>0.15266712506612143</v>
      </c>
      <c r="CS13">
        <v>0.15266712506612143</v>
      </c>
      <c r="CT13">
        <v>4.195441162689633E-2</v>
      </c>
      <c r="CU13">
        <v>3</v>
      </c>
      <c r="CV13">
        <v>0</v>
      </c>
      <c r="CW13">
        <v>0</v>
      </c>
      <c r="CX13">
        <v>0</v>
      </c>
      <c r="CY13">
        <v>3</v>
      </c>
      <c r="CZ13">
        <v>0</v>
      </c>
      <c r="DA13">
        <v>0</v>
      </c>
      <c r="DB13">
        <v>0</v>
      </c>
      <c r="DC13">
        <v>3</v>
      </c>
      <c r="DD13">
        <v>11</v>
      </c>
      <c r="DE13">
        <v>11</v>
      </c>
      <c r="DF13">
        <v>0</v>
      </c>
      <c r="DG13">
        <v>3</v>
      </c>
      <c r="DH13">
        <v>8.6666666666666661</v>
      </c>
      <c r="DI13">
        <v>8.6666666666666661</v>
      </c>
      <c r="DJ13">
        <v>0.57735026918962573</v>
      </c>
      <c r="DK13">
        <v>3</v>
      </c>
      <c r="DL13">
        <v>19.666666666666668</v>
      </c>
      <c r="DM13">
        <v>19.666666666666668</v>
      </c>
      <c r="DN13">
        <v>1.1547005383792515</v>
      </c>
      <c r="DO13">
        <v>3</v>
      </c>
      <c r="DP13">
        <v>18.666666666666668</v>
      </c>
      <c r="DQ13">
        <v>18.666666666666668</v>
      </c>
      <c r="DR13">
        <v>1.1547005383792515</v>
      </c>
      <c r="DS13">
        <v>3</v>
      </c>
      <c r="DT13">
        <v>10</v>
      </c>
      <c r="DU13">
        <v>10</v>
      </c>
      <c r="DV13">
        <v>1.7320508075688772</v>
      </c>
      <c r="DW13">
        <v>3</v>
      </c>
      <c r="DX13">
        <v>1.3333333333333333</v>
      </c>
      <c r="DY13">
        <v>1.3333333333333333</v>
      </c>
      <c r="DZ13">
        <v>1.5275252316519468</v>
      </c>
      <c r="EA13">
        <v>3</v>
      </c>
      <c r="EB13">
        <v>4</v>
      </c>
      <c r="EC13">
        <v>4</v>
      </c>
      <c r="ED13">
        <v>0</v>
      </c>
      <c r="EE13">
        <v>3</v>
      </c>
      <c r="EF13">
        <v>0</v>
      </c>
      <c r="EG13">
        <v>0</v>
      </c>
      <c r="EH13">
        <v>0</v>
      </c>
      <c r="EI13">
        <v>3</v>
      </c>
      <c r="EJ13">
        <v>0</v>
      </c>
      <c r="EK13">
        <v>0</v>
      </c>
      <c r="EL13">
        <v>0</v>
      </c>
      <c r="EM13">
        <v>3</v>
      </c>
      <c r="EN13">
        <v>0</v>
      </c>
      <c r="EO13">
        <v>0</v>
      </c>
      <c r="EP13">
        <v>0</v>
      </c>
      <c r="EQ13">
        <v>3</v>
      </c>
      <c r="ER13">
        <v>0</v>
      </c>
      <c r="ES13">
        <v>0</v>
      </c>
      <c r="ET13">
        <v>0</v>
      </c>
    </row>
    <row r="14" spans="1:150" x14ac:dyDescent="0.25">
      <c r="A14" t="s">
        <v>336</v>
      </c>
      <c r="B14">
        <v>0.4</v>
      </c>
      <c r="C14">
        <v>3</v>
      </c>
      <c r="D14">
        <v>3</v>
      </c>
      <c r="E14">
        <v>3</v>
      </c>
      <c r="F14">
        <v>0</v>
      </c>
      <c r="G14">
        <v>3</v>
      </c>
      <c r="H14">
        <v>0</v>
      </c>
      <c r="I14">
        <v>100</v>
      </c>
      <c r="J14">
        <v>0</v>
      </c>
      <c r="K14">
        <v>3</v>
      </c>
      <c r="L14">
        <v>547.64906268512107</v>
      </c>
      <c r="M14">
        <v>547.64906268512107</v>
      </c>
      <c r="N14">
        <v>9.5514111122122465</v>
      </c>
      <c r="O14">
        <v>3</v>
      </c>
      <c r="P14">
        <v>518.14683649260235</v>
      </c>
      <c r="Q14">
        <v>518.14683649260235</v>
      </c>
      <c r="R14">
        <v>3.2370518247309645</v>
      </c>
      <c r="S14">
        <v>3</v>
      </c>
      <c r="T14">
        <v>246.50892427451959</v>
      </c>
      <c r="U14">
        <v>246.50892427451959</v>
      </c>
      <c r="V14">
        <v>0</v>
      </c>
      <c r="W14">
        <v>3</v>
      </c>
      <c r="X14">
        <v>52.423649458611237</v>
      </c>
      <c r="Y14">
        <v>52.423649458611237</v>
      </c>
      <c r="Z14">
        <v>0.29800238468786255</v>
      </c>
      <c r="AA14">
        <v>3</v>
      </c>
      <c r="AB14">
        <v>518.14683649260235</v>
      </c>
      <c r="AC14">
        <v>518.14683649260235</v>
      </c>
      <c r="AD14">
        <v>3.2370518247309645</v>
      </c>
      <c r="AE14">
        <v>3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3</v>
      </c>
      <c r="AV14">
        <v>0</v>
      </c>
      <c r="AW14">
        <v>0</v>
      </c>
      <c r="AX14">
        <v>0</v>
      </c>
      <c r="AY14">
        <v>3</v>
      </c>
      <c r="AZ14">
        <v>0.37733332316080731</v>
      </c>
      <c r="BA14">
        <v>0.37733332316080731</v>
      </c>
      <c r="BB14">
        <v>9.0046348558405723E-2</v>
      </c>
      <c r="BC14">
        <v>3</v>
      </c>
      <c r="BD14">
        <v>8.7599999904632568</v>
      </c>
      <c r="BE14">
        <v>8.7599999904632568</v>
      </c>
      <c r="BF14">
        <v>4.0853335877764199E-2</v>
      </c>
      <c r="BG14">
        <v>3</v>
      </c>
      <c r="BH14">
        <v>300.1573332945506</v>
      </c>
      <c r="BI14">
        <v>300.1573332945506</v>
      </c>
      <c r="BJ14">
        <v>0.13439623854180047</v>
      </c>
      <c r="BK14">
        <v>3</v>
      </c>
      <c r="BL14">
        <v>292.44633316993713</v>
      </c>
      <c r="BM14">
        <v>292.44633316993713</v>
      </c>
      <c r="BN14">
        <v>0.47175085822216223</v>
      </c>
      <c r="BO14">
        <v>3</v>
      </c>
      <c r="BP14">
        <v>7.7110001246134443</v>
      </c>
      <c r="BQ14">
        <v>7.7110001246134443</v>
      </c>
      <c r="BR14">
        <v>0.4052364435162949</v>
      </c>
      <c r="BS14">
        <v>3</v>
      </c>
      <c r="BT14">
        <v>785</v>
      </c>
      <c r="BU14">
        <v>785</v>
      </c>
      <c r="BV14">
        <v>34.641016151377549</v>
      </c>
      <c r="BW14">
        <v>3</v>
      </c>
      <c r="BX14">
        <v>1</v>
      </c>
      <c r="BY14">
        <v>1</v>
      </c>
      <c r="BZ14">
        <v>0</v>
      </c>
      <c r="CA14">
        <v>3</v>
      </c>
      <c r="CB14">
        <v>7.666666666666667</v>
      </c>
      <c r="CC14">
        <v>7.666666666666667</v>
      </c>
      <c r="CD14">
        <v>2.0816659994661326</v>
      </c>
      <c r="CE14">
        <v>3</v>
      </c>
      <c r="CF14">
        <v>59.333333333333336</v>
      </c>
      <c r="CG14">
        <v>59.333333333333336</v>
      </c>
      <c r="CH14">
        <v>9.4516312525052157</v>
      </c>
      <c r="CI14">
        <v>3</v>
      </c>
      <c r="CJ14">
        <v>286.78233345349628</v>
      </c>
      <c r="CK14">
        <v>286.78233345349628</v>
      </c>
      <c r="CL14">
        <v>0.76728247434650521</v>
      </c>
      <c r="CM14">
        <v>3</v>
      </c>
      <c r="CN14">
        <v>80.666666666666671</v>
      </c>
      <c r="CO14">
        <v>80.666666666666671</v>
      </c>
      <c r="CP14">
        <v>14.364307617610162</v>
      </c>
      <c r="CQ14">
        <v>3</v>
      </c>
      <c r="CR14">
        <v>0.10199975967407227</v>
      </c>
      <c r="CS14">
        <v>0.10199975967407227</v>
      </c>
      <c r="CT14">
        <v>1.4106093808480229E-2</v>
      </c>
      <c r="CU14">
        <v>3</v>
      </c>
      <c r="CV14">
        <v>0</v>
      </c>
      <c r="CW14">
        <v>0</v>
      </c>
      <c r="CX14">
        <v>0</v>
      </c>
      <c r="CY14">
        <v>3</v>
      </c>
      <c r="CZ14">
        <v>0</v>
      </c>
      <c r="DA14">
        <v>0</v>
      </c>
      <c r="DB14">
        <v>0</v>
      </c>
      <c r="DC14">
        <v>3</v>
      </c>
      <c r="DD14">
        <v>20</v>
      </c>
      <c r="DE14">
        <v>20</v>
      </c>
      <c r="DF14">
        <v>0</v>
      </c>
      <c r="DG14">
        <v>3</v>
      </c>
      <c r="DH14">
        <v>20</v>
      </c>
      <c r="DI14">
        <v>20</v>
      </c>
      <c r="DJ14">
        <v>0</v>
      </c>
      <c r="DK14">
        <v>3</v>
      </c>
      <c r="DL14">
        <v>38</v>
      </c>
      <c r="DM14">
        <v>38</v>
      </c>
      <c r="DN14">
        <v>0</v>
      </c>
      <c r="DO14">
        <v>3</v>
      </c>
      <c r="DP14">
        <v>38</v>
      </c>
      <c r="DQ14">
        <v>38</v>
      </c>
      <c r="DR14">
        <v>0</v>
      </c>
      <c r="DS14">
        <v>3</v>
      </c>
      <c r="DT14">
        <v>18</v>
      </c>
      <c r="DU14">
        <v>18</v>
      </c>
      <c r="DV14">
        <v>0</v>
      </c>
      <c r="DW14">
        <v>3</v>
      </c>
      <c r="DX14">
        <v>4.666666666666667</v>
      </c>
      <c r="DY14">
        <v>4.666666666666667</v>
      </c>
      <c r="DZ14">
        <v>0.57735026918962584</v>
      </c>
      <c r="EA14">
        <v>3</v>
      </c>
      <c r="EB14">
        <v>4</v>
      </c>
      <c r="EC14">
        <v>4</v>
      </c>
      <c r="ED14">
        <v>0</v>
      </c>
      <c r="EE14">
        <v>3</v>
      </c>
      <c r="EF14">
        <v>0</v>
      </c>
      <c r="EG14">
        <v>0</v>
      </c>
      <c r="EH14">
        <v>0</v>
      </c>
      <c r="EI14">
        <v>3</v>
      </c>
      <c r="EJ14">
        <v>0</v>
      </c>
      <c r="EK14">
        <v>0</v>
      </c>
      <c r="EL14">
        <v>0</v>
      </c>
      <c r="EM14">
        <v>3</v>
      </c>
      <c r="EN14">
        <v>0</v>
      </c>
      <c r="EO14">
        <v>0</v>
      </c>
      <c r="EP14">
        <v>0</v>
      </c>
      <c r="EQ14">
        <v>3</v>
      </c>
      <c r="ER14">
        <v>0</v>
      </c>
      <c r="ES14">
        <v>0</v>
      </c>
      <c r="ET14">
        <v>0</v>
      </c>
    </row>
    <row r="15" spans="1:150" x14ac:dyDescent="0.25">
      <c r="A15" t="s">
        <v>337</v>
      </c>
      <c r="B15">
        <v>0.4</v>
      </c>
      <c r="C15">
        <v>3</v>
      </c>
      <c r="D15">
        <v>3</v>
      </c>
      <c r="E15">
        <v>3</v>
      </c>
      <c r="F15">
        <v>0</v>
      </c>
      <c r="G15">
        <v>3</v>
      </c>
      <c r="H15">
        <v>0</v>
      </c>
      <c r="I15">
        <v>100</v>
      </c>
      <c r="J15">
        <v>0</v>
      </c>
      <c r="K15">
        <v>3</v>
      </c>
      <c r="L15">
        <v>760.19852713019293</v>
      </c>
      <c r="M15">
        <v>760.19852713019293</v>
      </c>
      <c r="N15">
        <v>30.941718205026806</v>
      </c>
      <c r="O15">
        <v>3</v>
      </c>
      <c r="P15">
        <v>710.41056632651123</v>
      </c>
      <c r="Q15">
        <v>710.41056632651123</v>
      </c>
      <c r="R15">
        <v>10.069280099444923</v>
      </c>
      <c r="S15">
        <v>3</v>
      </c>
      <c r="T15">
        <v>291.29025616512354</v>
      </c>
      <c r="U15">
        <v>291.29025616512354</v>
      </c>
      <c r="V15">
        <v>0</v>
      </c>
      <c r="W15">
        <v>3</v>
      </c>
      <c r="X15">
        <v>58.99145708274164</v>
      </c>
      <c r="Y15">
        <v>58.99145708274164</v>
      </c>
      <c r="Z15">
        <v>0.57749347190164779</v>
      </c>
      <c r="AA15">
        <v>3</v>
      </c>
      <c r="AB15">
        <v>710.41056632651123</v>
      </c>
      <c r="AC15">
        <v>710.41056632651123</v>
      </c>
      <c r="AD15">
        <v>10.069280099444923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3</v>
      </c>
      <c r="AV15">
        <v>0</v>
      </c>
      <c r="AW15">
        <v>0</v>
      </c>
      <c r="AX15">
        <v>0</v>
      </c>
      <c r="AY15">
        <v>3</v>
      </c>
      <c r="AZ15">
        <v>0.73066671689351403</v>
      </c>
      <c r="BA15">
        <v>0.73066671689351403</v>
      </c>
      <c r="BB15">
        <v>9.1467611427675982E-2</v>
      </c>
      <c r="BC15">
        <v>3</v>
      </c>
      <c r="BD15">
        <v>18.671000003814697</v>
      </c>
      <c r="BE15">
        <v>18.671000003814697</v>
      </c>
      <c r="BF15">
        <v>1.1393246519832541</v>
      </c>
      <c r="BG15">
        <v>3</v>
      </c>
      <c r="BH15">
        <v>300.2620000044505</v>
      </c>
      <c r="BI15">
        <v>300.2620000044505</v>
      </c>
      <c r="BJ15">
        <v>5.2716125007115401E-2</v>
      </c>
      <c r="BK15">
        <v>3</v>
      </c>
      <c r="BL15">
        <v>284.14833370844525</v>
      </c>
      <c r="BM15">
        <v>284.14833370844525</v>
      </c>
      <c r="BN15">
        <v>1.0600646466641368</v>
      </c>
      <c r="BO15">
        <v>3</v>
      </c>
      <c r="BP15">
        <v>16.113666296005249</v>
      </c>
      <c r="BQ15">
        <v>16.113666296005249</v>
      </c>
      <c r="BR15">
        <v>1.1122417838185781</v>
      </c>
      <c r="BS15">
        <v>3</v>
      </c>
      <c r="BT15">
        <v>768.33333333333337</v>
      </c>
      <c r="BU15">
        <v>768.33333333333337</v>
      </c>
      <c r="BV15">
        <v>50.332229568471661</v>
      </c>
      <c r="BW15">
        <v>3</v>
      </c>
      <c r="BX15">
        <v>1</v>
      </c>
      <c r="BY15">
        <v>1</v>
      </c>
      <c r="BZ15">
        <v>0</v>
      </c>
      <c r="CA15">
        <v>3</v>
      </c>
      <c r="CB15">
        <v>6.666666666666667</v>
      </c>
      <c r="CC15">
        <v>6.666666666666667</v>
      </c>
      <c r="CD15">
        <v>1.1547005383792517</v>
      </c>
      <c r="CE15">
        <v>3</v>
      </c>
      <c r="CF15">
        <v>53.666666666666664</v>
      </c>
      <c r="CG15">
        <v>53.666666666666664</v>
      </c>
      <c r="CH15">
        <v>5.5075705472861021</v>
      </c>
      <c r="CI15">
        <v>3</v>
      </c>
      <c r="CJ15">
        <v>274.36000029246014</v>
      </c>
      <c r="CK15">
        <v>274.36000029246014</v>
      </c>
      <c r="CL15">
        <v>1.1302601562531578</v>
      </c>
      <c r="CM15">
        <v>3</v>
      </c>
      <c r="CN15">
        <v>69.333333333333329</v>
      </c>
      <c r="CO15">
        <v>69.333333333333329</v>
      </c>
      <c r="CP15">
        <v>3.0550504633038931</v>
      </c>
      <c r="CQ15">
        <v>3</v>
      </c>
      <c r="CR15">
        <v>0.12166651089986165</v>
      </c>
      <c r="CS15">
        <v>0.12166651089986165</v>
      </c>
      <c r="CT15">
        <v>1.0066726861236315E-2</v>
      </c>
      <c r="CU15">
        <v>3</v>
      </c>
      <c r="CV15">
        <v>0</v>
      </c>
      <c r="CW15">
        <v>0</v>
      </c>
      <c r="CX15">
        <v>0</v>
      </c>
      <c r="CY15">
        <v>3</v>
      </c>
      <c r="CZ15">
        <v>0</v>
      </c>
      <c r="DA15">
        <v>0</v>
      </c>
      <c r="DB15">
        <v>0</v>
      </c>
      <c r="DC15">
        <v>3</v>
      </c>
      <c r="DD15">
        <v>20</v>
      </c>
      <c r="DE15">
        <v>20</v>
      </c>
      <c r="DF15">
        <v>0</v>
      </c>
      <c r="DG15">
        <v>3</v>
      </c>
      <c r="DH15">
        <v>19.666666666666668</v>
      </c>
      <c r="DI15">
        <v>19.666666666666668</v>
      </c>
      <c r="DJ15">
        <v>0.57735026918962584</v>
      </c>
      <c r="DK15">
        <v>3</v>
      </c>
      <c r="DL15">
        <v>37.666666666666664</v>
      </c>
      <c r="DM15">
        <v>37.666666666666664</v>
      </c>
      <c r="DN15">
        <v>0.57735026918962584</v>
      </c>
      <c r="DO15">
        <v>3</v>
      </c>
      <c r="DP15">
        <v>37.666666666666664</v>
      </c>
      <c r="DQ15">
        <v>37.666666666666664</v>
      </c>
      <c r="DR15">
        <v>0.57735026918962584</v>
      </c>
      <c r="DS15">
        <v>3</v>
      </c>
      <c r="DT15">
        <v>18</v>
      </c>
      <c r="DU15">
        <v>18</v>
      </c>
      <c r="DV15">
        <v>0</v>
      </c>
      <c r="DW15">
        <v>3</v>
      </c>
      <c r="DX15">
        <v>5.333333333333333</v>
      </c>
      <c r="DY15">
        <v>5.333333333333333</v>
      </c>
      <c r="DZ15">
        <v>2.5166114784235831</v>
      </c>
      <c r="EA15">
        <v>3</v>
      </c>
      <c r="EB15">
        <v>4</v>
      </c>
      <c r="EC15">
        <v>4</v>
      </c>
      <c r="ED15">
        <v>0</v>
      </c>
      <c r="EE15">
        <v>3</v>
      </c>
      <c r="EF15">
        <v>0</v>
      </c>
      <c r="EG15">
        <v>0</v>
      </c>
      <c r="EH15">
        <v>0</v>
      </c>
      <c r="EI15">
        <v>3</v>
      </c>
      <c r="EJ15">
        <v>0</v>
      </c>
      <c r="EK15">
        <v>0</v>
      </c>
      <c r="EL15">
        <v>0</v>
      </c>
      <c r="EM15">
        <v>3</v>
      </c>
      <c r="EN15">
        <v>0</v>
      </c>
      <c r="EO15">
        <v>0</v>
      </c>
      <c r="EP15">
        <v>0</v>
      </c>
      <c r="EQ15">
        <v>3</v>
      </c>
      <c r="ER15">
        <v>0</v>
      </c>
      <c r="ES15">
        <v>0</v>
      </c>
      <c r="ET15">
        <v>0</v>
      </c>
    </row>
    <row r="16" spans="1:150" x14ac:dyDescent="0.25">
      <c r="A16" t="s">
        <v>324</v>
      </c>
      <c r="B16">
        <v>0.7</v>
      </c>
      <c r="C16">
        <v>3</v>
      </c>
      <c r="D16">
        <v>3</v>
      </c>
      <c r="E16">
        <v>3</v>
      </c>
      <c r="F16">
        <v>0</v>
      </c>
      <c r="G16">
        <v>3</v>
      </c>
      <c r="H16">
        <v>0</v>
      </c>
      <c r="I16">
        <v>100</v>
      </c>
      <c r="J16">
        <v>0</v>
      </c>
      <c r="K16">
        <v>3</v>
      </c>
      <c r="L16">
        <v>476.82309217691164</v>
      </c>
      <c r="M16">
        <v>476.82309217691164</v>
      </c>
      <c r="N16">
        <v>5.0834918947976826</v>
      </c>
      <c r="O16">
        <v>3</v>
      </c>
      <c r="P16">
        <v>470.95318134914214</v>
      </c>
      <c r="Q16">
        <v>470.95318134914214</v>
      </c>
      <c r="R16">
        <v>6.9618685722138533E-14</v>
      </c>
      <c r="S16">
        <v>3</v>
      </c>
      <c r="T16">
        <v>341.29383769320719</v>
      </c>
      <c r="U16">
        <v>341.29383769320719</v>
      </c>
      <c r="V16">
        <v>7.7651016259967651</v>
      </c>
      <c r="W16">
        <v>3</v>
      </c>
      <c r="X16">
        <v>27.531259749535852</v>
      </c>
      <c r="Y16">
        <v>27.531259749535852</v>
      </c>
      <c r="Z16">
        <v>1.6488054298204489</v>
      </c>
      <c r="AA16">
        <v>3</v>
      </c>
      <c r="AB16">
        <v>302.23483559913194</v>
      </c>
      <c r="AC16">
        <v>302.23483559913194</v>
      </c>
      <c r="AD16">
        <v>0</v>
      </c>
      <c r="AE16">
        <v>3</v>
      </c>
      <c r="AF16">
        <v>15.18503276676349</v>
      </c>
      <c r="AG16">
        <v>15.18503276676349</v>
      </c>
      <c r="AH16">
        <v>2.1755839288168292E-15</v>
      </c>
      <c r="AI16">
        <v>3</v>
      </c>
      <c r="AJ16">
        <v>140.2348355991316</v>
      </c>
      <c r="AK16">
        <v>140.2348355991316</v>
      </c>
      <c r="AL16">
        <v>0</v>
      </c>
      <c r="AM16">
        <v>3</v>
      </c>
      <c r="AN16">
        <v>0</v>
      </c>
      <c r="AO16">
        <v>0</v>
      </c>
      <c r="AP16">
        <v>0</v>
      </c>
      <c r="AQ16">
        <v>3</v>
      </c>
      <c r="AR16">
        <v>132.98477384115088</v>
      </c>
      <c r="AS16">
        <v>132.98477384115088</v>
      </c>
      <c r="AT16">
        <v>5.9073413725703085E-13</v>
      </c>
      <c r="AU16">
        <v>3</v>
      </c>
      <c r="AV16">
        <v>13.298477384115088</v>
      </c>
      <c r="AW16">
        <v>13.298477384115088</v>
      </c>
      <c r="AX16">
        <v>5.9488066205092414E-14</v>
      </c>
      <c r="AY16">
        <v>3</v>
      </c>
      <c r="AZ16">
        <v>0.84433333079020179</v>
      </c>
      <c r="BA16">
        <v>0.84433333079020179</v>
      </c>
      <c r="BB16">
        <v>0.24629716294888321</v>
      </c>
      <c r="BC16">
        <v>3</v>
      </c>
      <c r="BD16">
        <v>1.7383333047231038</v>
      </c>
      <c r="BE16">
        <v>1.7383333047231038</v>
      </c>
      <c r="BF16">
        <v>1.3171978662995139</v>
      </c>
      <c r="BG16">
        <v>3</v>
      </c>
      <c r="BH16">
        <v>300.21299997965497</v>
      </c>
      <c r="BI16">
        <v>300.21299997965497</v>
      </c>
      <c r="BJ16">
        <v>0.12399993404268242</v>
      </c>
      <c r="BK16">
        <v>3</v>
      </c>
      <c r="BL16">
        <v>297.40899952252704</v>
      </c>
      <c r="BM16">
        <v>297.40899952252704</v>
      </c>
      <c r="BN16">
        <v>0.40275467499941564</v>
      </c>
      <c r="BO16">
        <v>3</v>
      </c>
      <c r="BP16">
        <v>2.8040004571278891</v>
      </c>
      <c r="BQ16">
        <v>2.8040004571278891</v>
      </c>
      <c r="BR16">
        <v>0.38126530433596706</v>
      </c>
      <c r="BS16">
        <v>3</v>
      </c>
      <c r="BT16">
        <v>483.33333333333331</v>
      </c>
      <c r="BU16">
        <v>483.33333333333331</v>
      </c>
      <c r="BV16">
        <v>25.324559884296772</v>
      </c>
      <c r="BW16">
        <v>3</v>
      </c>
      <c r="BX16">
        <v>1</v>
      </c>
      <c r="BY16">
        <v>1</v>
      </c>
      <c r="BZ16">
        <v>0</v>
      </c>
      <c r="CA16">
        <v>3</v>
      </c>
      <c r="CB16">
        <v>65.333333333333329</v>
      </c>
      <c r="CC16">
        <v>65.333333333333329</v>
      </c>
      <c r="CD16">
        <v>12.096831541082702</v>
      </c>
      <c r="CE16">
        <v>3</v>
      </c>
      <c r="CF16">
        <v>151.66666666666666</v>
      </c>
      <c r="CG16">
        <v>151.66666666666666</v>
      </c>
      <c r="CH16">
        <v>23.245071162148186</v>
      </c>
      <c r="CI16">
        <v>3</v>
      </c>
      <c r="CJ16">
        <v>277.01466600100201</v>
      </c>
      <c r="CK16">
        <v>277.01466600100201</v>
      </c>
      <c r="CL16">
        <v>4.1362667583782766</v>
      </c>
      <c r="CM16">
        <v>3</v>
      </c>
      <c r="CN16">
        <v>21.666666666666668</v>
      </c>
      <c r="CO16">
        <v>21.666666666666668</v>
      </c>
      <c r="CP16">
        <v>0.57735026918962584</v>
      </c>
      <c r="CQ16">
        <v>3</v>
      </c>
      <c r="CR16">
        <v>2.4666945139567058E-2</v>
      </c>
      <c r="CS16">
        <v>2.4666945139567058E-2</v>
      </c>
      <c r="CT16">
        <v>5.7744612352675459E-4</v>
      </c>
      <c r="CU16">
        <v>3</v>
      </c>
      <c r="CV16">
        <v>0</v>
      </c>
      <c r="CW16">
        <v>0</v>
      </c>
      <c r="CX16">
        <v>0</v>
      </c>
      <c r="CY16">
        <v>3</v>
      </c>
      <c r="CZ16">
        <v>0</v>
      </c>
      <c r="DA16">
        <v>0</v>
      </c>
      <c r="DB16">
        <v>0</v>
      </c>
      <c r="DC16">
        <v>3</v>
      </c>
      <c r="DD16">
        <v>20</v>
      </c>
      <c r="DE16">
        <v>20</v>
      </c>
      <c r="DF16">
        <v>0</v>
      </c>
      <c r="DG16">
        <v>3</v>
      </c>
      <c r="DH16">
        <v>8.6666666666666661</v>
      </c>
      <c r="DI16">
        <v>8.6666666666666661</v>
      </c>
      <c r="DJ16">
        <v>2.3094010767585034</v>
      </c>
      <c r="DK16">
        <v>3</v>
      </c>
      <c r="DL16">
        <v>20.666666666666668</v>
      </c>
      <c r="DM16">
        <v>20.666666666666668</v>
      </c>
      <c r="DN16">
        <v>2.3094010767585034</v>
      </c>
      <c r="DO16">
        <v>3</v>
      </c>
      <c r="DP16">
        <v>20.666666666666668</v>
      </c>
      <c r="DQ16">
        <v>20.666666666666668</v>
      </c>
      <c r="DR16">
        <v>2.3094010767585034</v>
      </c>
      <c r="DS16">
        <v>3</v>
      </c>
      <c r="DT16">
        <v>12</v>
      </c>
      <c r="DU16">
        <v>12</v>
      </c>
      <c r="DV16">
        <v>0</v>
      </c>
      <c r="DW16">
        <v>3</v>
      </c>
      <c r="DX16">
        <v>0</v>
      </c>
      <c r="DY16">
        <v>0</v>
      </c>
      <c r="DZ16">
        <v>0</v>
      </c>
      <c r="EA16">
        <v>3</v>
      </c>
      <c r="EB16">
        <v>10.333333333333334</v>
      </c>
      <c r="EC16">
        <v>10.333333333333334</v>
      </c>
      <c r="ED16">
        <v>0.57735026918962573</v>
      </c>
      <c r="EE16">
        <v>3</v>
      </c>
      <c r="EF16">
        <v>0</v>
      </c>
      <c r="EG16">
        <v>0</v>
      </c>
      <c r="EH16">
        <v>0</v>
      </c>
      <c r="EI16">
        <v>3</v>
      </c>
      <c r="EJ16">
        <v>0</v>
      </c>
      <c r="EK16">
        <v>0</v>
      </c>
      <c r="EL16">
        <v>0</v>
      </c>
      <c r="EM16">
        <v>3</v>
      </c>
      <c r="EN16">
        <v>0</v>
      </c>
      <c r="EO16">
        <v>0</v>
      </c>
      <c r="EP16">
        <v>0</v>
      </c>
      <c r="EQ16">
        <v>3</v>
      </c>
      <c r="ER16">
        <v>0</v>
      </c>
      <c r="ES16">
        <v>0</v>
      </c>
      <c r="ET16">
        <v>0</v>
      </c>
    </row>
    <row r="17" spans="1:150" x14ac:dyDescent="0.25">
      <c r="A17" t="s">
        <v>325</v>
      </c>
      <c r="B17">
        <v>0.7</v>
      </c>
      <c r="C17">
        <v>3</v>
      </c>
      <c r="D17">
        <v>3</v>
      </c>
      <c r="E17">
        <v>3</v>
      </c>
      <c r="F17">
        <v>0</v>
      </c>
      <c r="G17">
        <v>3</v>
      </c>
      <c r="H17">
        <v>0</v>
      </c>
      <c r="I17">
        <v>100</v>
      </c>
      <c r="J17">
        <v>0</v>
      </c>
      <c r="K17">
        <v>3</v>
      </c>
      <c r="L17">
        <v>657.09224828585741</v>
      </c>
      <c r="M17">
        <v>657.09224828585741</v>
      </c>
      <c r="N17">
        <v>14.138542784067397</v>
      </c>
      <c r="O17">
        <v>3</v>
      </c>
      <c r="P17">
        <v>627.58661410692287</v>
      </c>
      <c r="Q17">
        <v>627.58661410692287</v>
      </c>
      <c r="R17">
        <v>8.3092462387761685</v>
      </c>
      <c r="S17">
        <v>3</v>
      </c>
      <c r="T17">
        <v>237.01020624910373</v>
      </c>
      <c r="U17">
        <v>237.01020624910373</v>
      </c>
      <c r="V17">
        <v>21.232104112355696</v>
      </c>
      <c r="W17">
        <v>3</v>
      </c>
      <c r="X17">
        <v>62.229885511071821</v>
      </c>
      <c r="Y17">
        <v>62.229885511071821</v>
      </c>
      <c r="Z17">
        <v>3.4515752727315885</v>
      </c>
      <c r="AA17">
        <v>3</v>
      </c>
      <c r="AB17">
        <v>364.18453626549598</v>
      </c>
      <c r="AC17">
        <v>364.18453626549598</v>
      </c>
      <c r="AD17">
        <v>1.3581242158355553</v>
      </c>
      <c r="AE17">
        <v>3</v>
      </c>
      <c r="AF17">
        <v>33.430593403291994</v>
      </c>
      <c r="AG17">
        <v>33.430593403291994</v>
      </c>
      <c r="AH17">
        <v>4.72414657003001</v>
      </c>
      <c r="AI17">
        <v>3</v>
      </c>
      <c r="AJ17">
        <v>202.18453626549561</v>
      </c>
      <c r="AK17">
        <v>202.18453626549561</v>
      </c>
      <c r="AL17">
        <v>1.3581242158354896</v>
      </c>
      <c r="AM17">
        <v>3</v>
      </c>
      <c r="AN17">
        <v>0</v>
      </c>
      <c r="AO17">
        <v>0</v>
      </c>
      <c r="AP17">
        <v>0</v>
      </c>
      <c r="AQ17">
        <v>3</v>
      </c>
      <c r="AR17">
        <v>277.86948172639262</v>
      </c>
      <c r="AS17">
        <v>277.86948172639262</v>
      </c>
      <c r="AT17">
        <v>8.688512370750793</v>
      </c>
      <c r="AU17">
        <v>3</v>
      </c>
      <c r="AV17">
        <v>27.786948172639267</v>
      </c>
      <c r="AW17">
        <v>27.786948172639267</v>
      </c>
      <c r="AX17">
        <v>0.86885123707507927</v>
      </c>
      <c r="AY17">
        <v>3</v>
      </c>
      <c r="AZ17">
        <v>4.0193334420522051</v>
      </c>
      <c r="BA17">
        <v>4.0193334420522051</v>
      </c>
      <c r="BB17">
        <v>1.9302607004306906</v>
      </c>
      <c r="BC17">
        <v>3</v>
      </c>
      <c r="BD17">
        <v>38.648333390553795</v>
      </c>
      <c r="BE17">
        <v>38.648333390553795</v>
      </c>
      <c r="BF17">
        <v>18.305500312581085</v>
      </c>
      <c r="BG17">
        <v>3</v>
      </c>
      <c r="BH17">
        <v>300.26466679573059</v>
      </c>
      <c r="BI17">
        <v>300.26466679573059</v>
      </c>
      <c r="BJ17">
        <v>8.1831098703419619E-2</v>
      </c>
      <c r="BK17">
        <v>3</v>
      </c>
      <c r="BL17">
        <v>293.11633459726971</v>
      </c>
      <c r="BM17">
        <v>293.11633459726971</v>
      </c>
      <c r="BN17">
        <v>1.6725323406061867</v>
      </c>
      <c r="BO17">
        <v>3</v>
      </c>
      <c r="BP17">
        <v>7.1483321984608965</v>
      </c>
      <c r="BQ17">
        <v>7.1483321984608965</v>
      </c>
      <c r="BR17">
        <v>1.7248849536327044</v>
      </c>
      <c r="BS17">
        <v>3</v>
      </c>
      <c r="BT17">
        <v>670.66666666666663</v>
      </c>
      <c r="BU17">
        <v>670.66666666666663</v>
      </c>
      <c r="BV17">
        <v>53.153864707407052</v>
      </c>
      <c r="BW17">
        <v>3</v>
      </c>
      <c r="BX17">
        <v>1</v>
      </c>
      <c r="BY17">
        <v>1</v>
      </c>
      <c r="BZ17">
        <v>0</v>
      </c>
      <c r="CA17">
        <v>3</v>
      </c>
      <c r="CB17">
        <v>126.66666666666667</v>
      </c>
      <c r="CC17">
        <v>126.66666666666667</v>
      </c>
      <c r="CD17">
        <v>8.9628864398325021</v>
      </c>
      <c r="CE17">
        <v>3</v>
      </c>
      <c r="CF17">
        <v>263.66666666666669</v>
      </c>
      <c r="CG17">
        <v>263.66666666666669</v>
      </c>
      <c r="CH17">
        <v>16.862186493255653</v>
      </c>
      <c r="CI17">
        <v>3</v>
      </c>
      <c r="CJ17">
        <v>238.68800012270609</v>
      </c>
      <c r="CK17">
        <v>238.68800012270609</v>
      </c>
      <c r="CL17">
        <v>10.370232473355964</v>
      </c>
      <c r="CM17">
        <v>3</v>
      </c>
      <c r="CN17">
        <v>61.333333333333336</v>
      </c>
      <c r="CO17">
        <v>61.333333333333336</v>
      </c>
      <c r="CP17">
        <v>58.620246786697621</v>
      </c>
      <c r="CQ17">
        <v>3</v>
      </c>
      <c r="CR17">
        <v>0.10633349418640137</v>
      </c>
      <c r="CS17">
        <v>0.10633349418640137</v>
      </c>
      <c r="CT17">
        <v>8.3739584163714589E-2</v>
      </c>
      <c r="CU17">
        <v>3</v>
      </c>
      <c r="CV17">
        <v>0</v>
      </c>
      <c r="CW17">
        <v>0</v>
      </c>
      <c r="CX17">
        <v>0</v>
      </c>
      <c r="CY17">
        <v>3</v>
      </c>
      <c r="CZ17">
        <v>0</v>
      </c>
      <c r="DA17">
        <v>0</v>
      </c>
      <c r="DB17">
        <v>0</v>
      </c>
      <c r="DC17">
        <v>3</v>
      </c>
      <c r="DD17">
        <v>17.666666666666668</v>
      </c>
      <c r="DE17">
        <v>17.666666666666668</v>
      </c>
      <c r="DF17">
        <v>4.0414518843273806</v>
      </c>
      <c r="DG17">
        <v>3</v>
      </c>
      <c r="DH17">
        <v>9.3333333333333339</v>
      </c>
      <c r="DI17">
        <v>9.3333333333333339</v>
      </c>
      <c r="DJ17">
        <v>2.3094010767585034</v>
      </c>
      <c r="DK17">
        <v>3</v>
      </c>
      <c r="DL17">
        <v>28.333333333333332</v>
      </c>
      <c r="DM17">
        <v>28.333333333333332</v>
      </c>
      <c r="DN17">
        <v>2.0816659994661331</v>
      </c>
      <c r="DO17">
        <v>3</v>
      </c>
      <c r="DP17">
        <v>15.666666666666666</v>
      </c>
      <c r="DQ17">
        <v>15.666666666666666</v>
      </c>
      <c r="DR17">
        <v>1.1547005383792517</v>
      </c>
      <c r="DS17">
        <v>3</v>
      </c>
      <c r="DT17">
        <v>13.666666666666666</v>
      </c>
      <c r="DU17">
        <v>13.666666666666666</v>
      </c>
      <c r="DV17">
        <v>3.7859388972001824</v>
      </c>
      <c r="DW17">
        <v>3</v>
      </c>
      <c r="DX17">
        <v>1.3333333333333333</v>
      </c>
      <c r="DY17">
        <v>1.3333333333333333</v>
      </c>
      <c r="DZ17">
        <v>1.1547005383792517</v>
      </c>
      <c r="EA17">
        <v>3</v>
      </c>
      <c r="EB17">
        <v>5</v>
      </c>
      <c r="EC17">
        <v>5</v>
      </c>
      <c r="ED17">
        <v>1</v>
      </c>
      <c r="EE17">
        <v>3</v>
      </c>
      <c r="EF17">
        <v>0</v>
      </c>
      <c r="EG17">
        <v>0</v>
      </c>
      <c r="EH17">
        <v>0</v>
      </c>
      <c r="EI17">
        <v>3</v>
      </c>
      <c r="EJ17">
        <v>0</v>
      </c>
      <c r="EK17">
        <v>0</v>
      </c>
      <c r="EL17">
        <v>0</v>
      </c>
      <c r="EM17">
        <v>3</v>
      </c>
      <c r="EN17">
        <v>0</v>
      </c>
      <c r="EO17">
        <v>0</v>
      </c>
      <c r="EP17">
        <v>0</v>
      </c>
      <c r="EQ17">
        <v>3</v>
      </c>
      <c r="ER17">
        <v>0</v>
      </c>
      <c r="ES17">
        <v>0</v>
      </c>
      <c r="ET17">
        <v>0</v>
      </c>
    </row>
    <row r="18" spans="1:150" x14ac:dyDescent="0.25">
      <c r="A18" t="s">
        <v>326</v>
      </c>
      <c r="B18">
        <v>0.7</v>
      </c>
      <c r="C18">
        <v>3</v>
      </c>
      <c r="D18">
        <v>3</v>
      </c>
      <c r="E18">
        <v>3</v>
      </c>
      <c r="F18">
        <v>0</v>
      </c>
      <c r="G18">
        <v>3</v>
      </c>
      <c r="H18">
        <v>0</v>
      </c>
      <c r="I18">
        <v>100</v>
      </c>
      <c r="J18">
        <v>0</v>
      </c>
      <c r="K18">
        <v>3</v>
      </c>
      <c r="L18">
        <v>848.12713670753999</v>
      </c>
      <c r="M18">
        <v>848.12713670753999</v>
      </c>
      <c r="N18">
        <v>21.914061602649141</v>
      </c>
      <c r="O18">
        <v>3</v>
      </c>
      <c r="P18">
        <v>795.72301033291785</v>
      </c>
      <c r="Q18">
        <v>795.72301033291785</v>
      </c>
      <c r="R18">
        <v>1.3923737144427707E-13</v>
      </c>
      <c r="S18">
        <v>3</v>
      </c>
      <c r="T18">
        <v>236.46231579186033</v>
      </c>
      <c r="U18">
        <v>236.46231579186033</v>
      </c>
      <c r="V18">
        <v>0</v>
      </c>
      <c r="W18">
        <v>3</v>
      </c>
      <c r="X18">
        <v>70.283338206729979</v>
      </c>
      <c r="Y18">
        <v>70.283338206729979</v>
      </c>
      <c r="Z18">
        <v>0</v>
      </c>
      <c r="AA18">
        <v>3</v>
      </c>
      <c r="AB18">
        <v>447.96167418109536</v>
      </c>
      <c r="AC18">
        <v>447.96167418109536</v>
      </c>
      <c r="AD18">
        <v>0</v>
      </c>
      <c r="AE18">
        <v>3</v>
      </c>
      <c r="AF18">
        <v>33.701106043705877</v>
      </c>
      <c r="AG18">
        <v>33.701106043705877</v>
      </c>
      <c r="AH18">
        <v>0</v>
      </c>
      <c r="AI18">
        <v>3</v>
      </c>
      <c r="AJ18">
        <v>285.96167418109428</v>
      </c>
      <c r="AK18">
        <v>285.96167418109428</v>
      </c>
      <c r="AL18">
        <v>0</v>
      </c>
      <c r="AM18">
        <v>3</v>
      </c>
      <c r="AN18">
        <v>0</v>
      </c>
      <c r="AO18">
        <v>0</v>
      </c>
      <c r="AP18">
        <v>0</v>
      </c>
      <c r="AQ18">
        <v>3</v>
      </c>
      <c r="AR18">
        <v>280.98555927022352</v>
      </c>
      <c r="AS18">
        <v>280.98555927022352</v>
      </c>
      <c r="AT18">
        <v>0</v>
      </c>
      <c r="AU18">
        <v>3</v>
      </c>
      <c r="AV18">
        <v>28.098555927022357</v>
      </c>
      <c r="AW18">
        <v>28.098555927022357</v>
      </c>
      <c r="AX18">
        <v>4.3511678576336583E-15</v>
      </c>
      <c r="AY18">
        <v>3</v>
      </c>
      <c r="AZ18">
        <v>5.0739999612172442</v>
      </c>
      <c r="BA18">
        <v>5.0739999612172442</v>
      </c>
      <c r="BB18">
        <v>2.0665089592581416</v>
      </c>
      <c r="BC18">
        <v>3</v>
      </c>
      <c r="BD18">
        <v>45.135000069936119</v>
      </c>
      <c r="BE18">
        <v>45.135000069936119</v>
      </c>
      <c r="BF18">
        <v>10.989670824389155</v>
      </c>
      <c r="BG18">
        <v>3</v>
      </c>
      <c r="BH18">
        <v>300.08333333333331</v>
      </c>
      <c r="BI18">
        <v>300.08333333333331</v>
      </c>
      <c r="BJ18">
        <v>4.5489968895407351E-2</v>
      </c>
      <c r="BK18">
        <v>3</v>
      </c>
      <c r="BL18">
        <v>295.1349983215332</v>
      </c>
      <c r="BM18">
        <v>295.1349983215332</v>
      </c>
      <c r="BN18">
        <v>0.1555417805338197</v>
      </c>
      <c r="BO18">
        <v>3</v>
      </c>
      <c r="BP18">
        <v>4.9483350118001299</v>
      </c>
      <c r="BQ18">
        <v>4.9483350118001299</v>
      </c>
      <c r="BR18">
        <v>0.11033806013458339</v>
      </c>
      <c r="BS18">
        <v>3</v>
      </c>
      <c r="BT18">
        <v>501.33333333333331</v>
      </c>
      <c r="BU18">
        <v>501.33333333333331</v>
      </c>
      <c r="BV18">
        <v>16.165807537309522</v>
      </c>
      <c r="BW18">
        <v>3</v>
      </c>
      <c r="BX18">
        <v>1</v>
      </c>
      <c r="BY18">
        <v>1</v>
      </c>
      <c r="BZ18">
        <v>0</v>
      </c>
      <c r="CA18">
        <v>3</v>
      </c>
      <c r="CB18">
        <v>81.333333333333329</v>
      </c>
      <c r="CC18">
        <v>81.333333333333329</v>
      </c>
      <c r="CD18">
        <v>4.0414518843273806</v>
      </c>
      <c r="CE18">
        <v>3</v>
      </c>
      <c r="CF18">
        <v>175.33333333333334</v>
      </c>
      <c r="CG18">
        <v>175.33333333333334</v>
      </c>
      <c r="CH18">
        <v>7.5718777944003648</v>
      </c>
      <c r="CI18">
        <v>3</v>
      </c>
      <c r="CJ18">
        <v>239.76266566912332</v>
      </c>
      <c r="CK18">
        <v>239.76266566912332</v>
      </c>
      <c r="CL18">
        <v>10.554660119157321</v>
      </c>
      <c r="CM18">
        <v>3</v>
      </c>
      <c r="CN18">
        <v>105.33333333333333</v>
      </c>
      <c r="CO18">
        <v>105.33333333333333</v>
      </c>
      <c r="CP18">
        <v>24.378952670968726</v>
      </c>
      <c r="CQ18">
        <v>3</v>
      </c>
      <c r="CR18">
        <v>0.12333321571350098</v>
      </c>
      <c r="CS18">
        <v>0.12333321571350098</v>
      </c>
      <c r="CT18">
        <v>1.5045974572691372E-2</v>
      </c>
      <c r="CU18">
        <v>3</v>
      </c>
      <c r="CV18">
        <v>0</v>
      </c>
      <c r="CW18">
        <v>0</v>
      </c>
      <c r="CX18">
        <v>0</v>
      </c>
      <c r="CY18">
        <v>3</v>
      </c>
      <c r="CZ18">
        <v>0.66666666666666663</v>
      </c>
      <c r="DA18">
        <v>0.66666666666666663</v>
      </c>
      <c r="DB18">
        <v>0.57735026918962584</v>
      </c>
      <c r="DC18">
        <v>3</v>
      </c>
      <c r="DD18">
        <v>17.333333333333332</v>
      </c>
      <c r="DE18">
        <v>17.333333333333332</v>
      </c>
      <c r="DF18">
        <v>3.0550504633038935</v>
      </c>
      <c r="DG18">
        <v>3</v>
      </c>
      <c r="DH18">
        <v>9</v>
      </c>
      <c r="DI18">
        <v>9</v>
      </c>
      <c r="DJ18">
        <v>1</v>
      </c>
      <c r="DK18">
        <v>3</v>
      </c>
      <c r="DL18">
        <v>20.333333333333332</v>
      </c>
      <c r="DM18">
        <v>20.333333333333332</v>
      </c>
      <c r="DN18">
        <v>0.57735026918962584</v>
      </c>
      <c r="DO18">
        <v>3</v>
      </c>
      <c r="DP18">
        <v>17.333333333333332</v>
      </c>
      <c r="DQ18">
        <v>17.333333333333332</v>
      </c>
      <c r="DR18">
        <v>1.5275252316519465</v>
      </c>
      <c r="DS18">
        <v>3</v>
      </c>
      <c r="DT18">
        <v>9</v>
      </c>
      <c r="DU18">
        <v>9</v>
      </c>
      <c r="DV18">
        <v>0</v>
      </c>
      <c r="DW18">
        <v>3</v>
      </c>
      <c r="DX18">
        <v>1</v>
      </c>
      <c r="DY18">
        <v>1</v>
      </c>
      <c r="DZ18">
        <v>0</v>
      </c>
      <c r="EA18">
        <v>3</v>
      </c>
      <c r="EB18">
        <v>6.333333333333333</v>
      </c>
      <c r="EC18">
        <v>6.333333333333333</v>
      </c>
      <c r="ED18">
        <v>0.57735026918962584</v>
      </c>
      <c r="EE18">
        <v>3</v>
      </c>
      <c r="EF18">
        <v>0</v>
      </c>
      <c r="EG18">
        <v>0</v>
      </c>
      <c r="EH18">
        <v>0</v>
      </c>
      <c r="EI18">
        <v>3</v>
      </c>
      <c r="EJ18">
        <v>0</v>
      </c>
      <c r="EK18">
        <v>0</v>
      </c>
      <c r="EL18">
        <v>0</v>
      </c>
      <c r="EM18">
        <v>3</v>
      </c>
      <c r="EN18">
        <v>0</v>
      </c>
      <c r="EO18">
        <v>0</v>
      </c>
      <c r="EP18">
        <v>0</v>
      </c>
      <c r="EQ18">
        <v>3</v>
      </c>
      <c r="ER18">
        <v>0</v>
      </c>
      <c r="ES18">
        <v>0</v>
      </c>
      <c r="ET18">
        <v>0</v>
      </c>
    </row>
    <row r="19" spans="1:150" x14ac:dyDescent="0.25">
      <c r="A19" t="s">
        <v>327</v>
      </c>
      <c r="B19">
        <v>0.7</v>
      </c>
      <c r="C19">
        <v>3</v>
      </c>
      <c r="D19">
        <v>3</v>
      </c>
      <c r="E19">
        <v>3</v>
      </c>
      <c r="F19">
        <v>0</v>
      </c>
      <c r="G19">
        <v>3</v>
      </c>
      <c r="H19">
        <v>0</v>
      </c>
      <c r="I19">
        <v>100</v>
      </c>
      <c r="J19">
        <v>0</v>
      </c>
      <c r="K19">
        <v>3</v>
      </c>
      <c r="L19">
        <v>427.75245668236062</v>
      </c>
      <c r="M19">
        <v>427.75245668236062</v>
      </c>
      <c r="N19">
        <v>4.6815461030792145</v>
      </c>
      <c r="O19">
        <v>3</v>
      </c>
      <c r="P19">
        <v>399.14330594613148</v>
      </c>
      <c r="Q19">
        <v>399.14330594613148</v>
      </c>
      <c r="R19">
        <v>4.0194366942304644E-14</v>
      </c>
      <c r="S19">
        <v>3</v>
      </c>
      <c r="T19">
        <v>204.84927835301971</v>
      </c>
      <c r="U19">
        <v>204.84927835301971</v>
      </c>
      <c r="V19">
        <v>17.687401900364545</v>
      </c>
      <c r="W19">
        <v>3</v>
      </c>
      <c r="X19">
        <v>48.677761770939924</v>
      </c>
      <c r="Y19">
        <v>48.677761770939924</v>
      </c>
      <c r="Z19">
        <v>4.4313412343063732</v>
      </c>
      <c r="AA19">
        <v>3</v>
      </c>
      <c r="AB19">
        <v>308.08865337892831</v>
      </c>
      <c r="AC19">
        <v>308.08865337892831</v>
      </c>
      <c r="AD19">
        <v>4.0194366942304644E-14</v>
      </c>
      <c r="AE19">
        <v>3</v>
      </c>
      <c r="AF19">
        <v>19.39634913454163</v>
      </c>
      <c r="AG19">
        <v>19.39634913454163</v>
      </c>
      <c r="AH19">
        <v>0</v>
      </c>
      <c r="AI19">
        <v>3</v>
      </c>
      <c r="AJ19">
        <v>67.647790552562071</v>
      </c>
      <c r="AK19">
        <v>67.647790552562071</v>
      </c>
      <c r="AL19">
        <v>0</v>
      </c>
      <c r="AM19">
        <v>3</v>
      </c>
      <c r="AN19">
        <v>0</v>
      </c>
      <c r="AO19">
        <v>0</v>
      </c>
      <c r="AP19">
        <v>0</v>
      </c>
      <c r="AQ19">
        <v>3</v>
      </c>
      <c r="AR19">
        <v>40.105128800994578</v>
      </c>
      <c r="AS19">
        <v>40.105128800994578</v>
      </c>
      <c r="AT19">
        <v>0</v>
      </c>
      <c r="AU19">
        <v>3</v>
      </c>
      <c r="AV19">
        <v>4.0105128800994576</v>
      </c>
      <c r="AW19">
        <v>4.0105128800994576</v>
      </c>
      <c r="AX19">
        <v>0</v>
      </c>
      <c r="AY19">
        <v>3</v>
      </c>
      <c r="AZ19">
        <v>1.4253333409627278</v>
      </c>
      <c r="BA19">
        <v>1.4253333409627278</v>
      </c>
      <c r="BB19">
        <v>0.77609859933515202</v>
      </c>
      <c r="BC19">
        <v>3</v>
      </c>
      <c r="BD19">
        <v>25.999333302179974</v>
      </c>
      <c r="BE19">
        <v>25.999333302179974</v>
      </c>
      <c r="BF19">
        <v>8.8727686637887864</v>
      </c>
      <c r="BG19">
        <v>3</v>
      </c>
      <c r="BH19">
        <v>300.12133328119916</v>
      </c>
      <c r="BI19">
        <v>300.12133328119916</v>
      </c>
      <c r="BJ19">
        <v>6.9894987410882015E-2</v>
      </c>
      <c r="BK19">
        <v>3</v>
      </c>
      <c r="BL19">
        <v>296.37600048383075</v>
      </c>
      <c r="BM19">
        <v>296.37600048383075</v>
      </c>
      <c r="BN19">
        <v>0.10921874256739664</v>
      </c>
      <c r="BO19">
        <v>3</v>
      </c>
      <c r="BP19">
        <v>3.7453327973683677</v>
      </c>
      <c r="BQ19">
        <v>3.7453327973683677</v>
      </c>
      <c r="BR19">
        <v>0.17723950164049579</v>
      </c>
      <c r="BS19">
        <v>3</v>
      </c>
      <c r="BT19">
        <v>642</v>
      </c>
      <c r="BU19">
        <v>642</v>
      </c>
      <c r="BV19">
        <v>25.98076211353316</v>
      </c>
      <c r="BW19">
        <v>3</v>
      </c>
      <c r="BX19">
        <v>1</v>
      </c>
      <c r="BY19">
        <v>1</v>
      </c>
      <c r="BZ19">
        <v>0</v>
      </c>
      <c r="CA19">
        <v>3</v>
      </c>
      <c r="CB19">
        <v>44.333333333333336</v>
      </c>
      <c r="CC19">
        <v>44.333333333333336</v>
      </c>
      <c r="CD19">
        <v>2.0816659994661326</v>
      </c>
      <c r="CE19">
        <v>3</v>
      </c>
      <c r="CF19">
        <v>147</v>
      </c>
      <c r="CG19">
        <v>147</v>
      </c>
      <c r="CH19">
        <v>6.2449979983983983</v>
      </c>
      <c r="CI19">
        <v>3</v>
      </c>
      <c r="CJ19">
        <v>266.45966649055481</v>
      </c>
      <c r="CK19">
        <v>266.45966649055481</v>
      </c>
      <c r="CL19">
        <v>8.0509971293842852</v>
      </c>
      <c r="CM19">
        <v>3</v>
      </c>
      <c r="CN19">
        <v>140</v>
      </c>
      <c r="CO19">
        <v>140</v>
      </c>
      <c r="CP19">
        <v>2.6457513110645907</v>
      </c>
      <c r="CQ19">
        <v>3</v>
      </c>
      <c r="CR19">
        <v>0.23433295885721842</v>
      </c>
      <c r="CS19">
        <v>0.23433295885721842</v>
      </c>
      <c r="CT19">
        <v>1.9856919010241635E-2</v>
      </c>
      <c r="CU19">
        <v>3</v>
      </c>
      <c r="CV19">
        <v>0</v>
      </c>
      <c r="CW19">
        <v>0</v>
      </c>
      <c r="CX19">
        <v>0</v>
      </c>
      <c r="CY19">
        <v>3</v>
      </c>
      <c r="CZ19">
        <v>0</v>
      </c>
      <c r="DA19">
        <v>0</v>
      </c>
      <c r="DB19">
        <v>0</v>
      </c>
      <c r="DC19">
        <v>3</v>
      </c>
      <c r="DD19">
        <v>20</v>
      </c>
      <c r="DE19">
        <v>20</v>
      </c>
      <c r="DF19">
        <v>0</v>
      </c>
      <c r="DG19">
        <v>3</v>
      </c>
      <c r="DH19">
        <v>14.333333333333334</v>
      </c>
      <c r="DI19">
        <v>14.333333333333334</v>
      </c>
      <c r="DJ19">
        <v>0.57735026918962573</v>
      </c>
      <c r="DK19">
        <v>3</v>
      </c>
      <c r="DL19">
        <v>36.333333333333336</v>
      </c>
      <c r="DM19">
        <v>36.333333333333336</v>
      </c>
      <c r="DN19">
        <v>0.57735026918962584</v>
      </c>
      <c r="DO19">
        <v>3</v>
      </c>
      <c r="DP19">
        <v>31.333333333333332</v>
      </c>
      <c r="DQ19">
        <v>31.333333333333332</v>
      </c>
      <c r="DR19">
        <v>0.57735026918962584</v>
      </c>
      <c r="DS19">
        <v>3</v>
      </c>
      <c r="DT19">
        <v>18</v>
      </c>
      <c r="DU19">
        <v>18</v>
      </c>
      <c r="DV19">
        <v>0</v>
      </c>
      <c r="DW19">
        <v>3</v>
      </c>
      <c r="DX19">
        <v>2</v>
      </c>
      <c r="DY19">
        <v>2</v>
      </c>
      <c r="DZ19">
        <v>1.7320508075688772</v>
      </c>
      <c r="EA19">
        <v>3</v>
      </c>
      <c r="EB19">
        <v>4</v>
      </c>
      <c r="EC19">
        <v>4</v>
      </c>
      <c r="ED19">
        <v>0</v>
      </c>
      <c r="EE19">
        <v>3</v>
      </c>
      <c r="EF19">
        <v>0</v>
      </c>
      <c r="EG19">
        <v>0</v>
      </c>
      <c r="EH19">
        <v>0</v>
      </c>
      <c r="EI19">
        <v>3</v>
      </c>
      <c r="EJ19">
        <v>0</v>
      </c>
      <c r="EK19">
        <v>0</v>
      </c>
      <c r="EL19">
        <v>0</v>
      </c>
      <c r="EM19">
        <v>3</v>
      </c>
      <c r="EN19">
        <v>0</v>
      </c>
      <c r="EO19">
        <v>0</v>
      </c>
      <c r="EP19">
        <v>0</v>
      </c>
      <c r="EQ19">
        <v>3</v>
      </c>
      <c r="ER19">
        <v>0</v>
      </c>
      <c r="ES19">
        <v>0</v>
      </c>
      <c r="ET19">
        <v>0</v>
      </c>
    </row>
    <row r="20" spans="1:150" x14ac:dyDescent="0.25">
      <c r="A20" t="s">
        <v>328</v>
      </c>
      <c r="B20">
        <v>0.7</v>
      </c>
      <c r="C20">
        <v>3</v>
      </c>
      <c r="D20">
        <v>3</v>
      </c>
      <c r="E20">
        <v>3</v>
      </c>
      <c r="F20">
        <v>0</v>
      </c>
      <c r="G20">
        <v>3</v>
      </c>
      <c r="H20">
        <v>0</v>
      </c>
      <c r="I20">
        <v>100</v>
      </c>
      <c r="J20">
        <v>0</v>
      </c>
      <c r="K20">
        <v>3</v>
      </c>
      <c r="L20">
        <v>545.50296759563082</v>
      </c>
      <c r="M20">
        <v>545.50296759563082</v>
      </c>
      <c r="N20">
        <v>12.846048377229614</v>
      </c>
      <c r="O20">
        <v>3</v>
      </c>
      <c r="P20">
        <v>514.14711959944714</v>
      </c>
      <c r="Q20">
        <v>514.14711959944714</v>
      </c>
      <c r="R20">
        <v>14.344688346652815</v>
      </c>
      <c r="S20">
        <v>3</v>
      </c>
      <c r="T20">
        <v>186.14292133321524</v>
      </c>
      <c r="U20">
        <v>186.14292133321524</v>
      </c>
      <c r="V20">
        <v>0</v>
      </c>
      <c r="W20">
        <v>3</v>
      </c>
      <c r="X20">
        <v>63.776689669953328</v>
      </c>
      <c r="Y20">
        <v>63.776689669953328</v>
      </c>
      <c r="Z20">
        <v>1.0267150642666627</v>
      </c>
      <c r="AA20">
        <v>3</v>
      </c>
      <c r="AB20">
        <v>366.4067488860648</v>
      </c>
      <c r="AC20">
        <v>366.4067488860648</v>
      </c>
      <c r="AD20">
        <v>6.8757004274168576</v>
      </c>
      <c r="AE20">
        <v>3</v>
      </c>
      <c r="AF20">
        <v>15.18503276676349</v>
      </c>
      <c r="AG20">
        <v>15.18503276676349</v>
      </c>
      <c r="AH20">
        <v>2.1755839288168292E-15</v>
      </c>
      <c r="AI20">
        <v>3</v>
      </c>
      <c r="AJ20">
        <v>123.54178036291118</v>
      </c>
      <c r="AK20">
        <v>123.54178036291118</v>
      </c>
      <c r="AL20">
        <v>6.6426701085566613</v>
      </c>
      <c r="AM20">
        <v>3</v>
      </c>
      <c r="AN20">
        <v>0</v>
      </c>
      <c r="AO20">
        <v>0</v>
      </c>
      <c r="AP20">
        <v>0</v>
      </c>
      <c r="AQ20">
        <v>3</v>
      </c>
      <c r="AR20">
        <v>90.135575837076729</v>
      </c>
      <c r="AS20">
        <v>90.135575837076729</v>
      </c>
      <c r="AT20">
        <v>24.441123058982235</v>
      </c>
      <c r="AU20">
        <v>3</v>
      </c>
      <c r="AV20">
        <v>9.0135575837076747</v>
      </c>
      <c r="AW20">
        <v>9.0135575837076747</v>
      </c>
      <c r="AX20">
        <v>2.4441123058982237</v>
      </c>
      <c r="AY20">
        <v>3</v>
      </c>
      <c r="AZ20">
        <v>1.5016666253407795</v>
      </c>
      <c r="BA20">
        <v>1.5016666253407795</v>
      </c>
      <c r="BB20">
        <v>0.6501479732119646</v>
      </c>
      <c r="BC20">
        <v>3</v>
      </c>
      <c r="BD20">
        <v>32.636333306630455</v>
      </c>
      <c r="BE20">
        <v>32.636333306630455</v>
      </c>
      <c r="BF20">
        <v>24.57108127149926</v>
      </c>
      <c r="BG20">
        <v>3</v>
      </c>
      <c r="BH20">
        <v>300.04999987284344</v>
      </c>
      <c r="BI20">
        <v>300.04999987284344</v>
      </c>
      <c r="BJ20">
        <v>3.4641946692856966E-3</v>
      </c>
      <c r="BK20">
        <v>3</v>
      </c>
      <c r="BL20">
        <v>295.56599958737689</v>
      </c>
      <c r="BM20">
        <v>295.56599958737689</v>
      </c>
      <c r="BN20">
        <v>0.33561759186608886</v>
      </c>
      <c r="BO20">
        <v>3</v>
      </c>
      <c r="BP20">
        <v>4.4840002854665117</v>
      </c>
      <c r="BQ20">
        <v>4.4840002854665117</v>
      </c>
      <c r="BR20">
        <v>0.33280801320114051</v>
      </c>
      <c r="BS20">
        <v>3</v>
      </c>
      <c r="BT20">
        <v>609</v>
      </c>
      <c r="BU20">
        <v>609</v>
      </c>
      <c r="BV20">
        <v>49.568134925574917</v>
      </c>
      <c r="BW20">
        <v>3</v>
      </c>
      <c r="BX20">
        <v>1</v>
      </c>
      <c r="BY20">
        <v>1</v>
      </c>
      <c r="BZ20">
        <v>0</v>
      </c>
      <c r="CA20">
        <v>3</v>
      </c>
      <c r="CB20">
        <v>34</v>
      </c>
      <c r="CC20">
        <v>34</v>
      </c>
      <c r="CD20">
        <v>4</v>
      </c>
      <c r="CE20">
        <v>3</v>
      </c>
      <c r="CF20">
        <v>116.33333333333333</v>
      </c>
      <c r="CG20">
        <v>116.33333333333333</v>
      </c>
      <c r="CH20">
        <v>10.503967504392488</v>
      </c>
      <c r="CI20">
        <v>3</v>
      </c>
      <c r="CJ20">
        <v>243.53699994087219</v>
      </c>
      <c r="CK20">
        <v>243.53699994087219</v>
      </c>
      <c r="CL20">
        <v>8.1909268470761418</v>
      </c>
      <c r="CM20">
        <v>3</v>
      </c>
      <c r="CN20">
        <v>63</v>
      </c>
      <c r="CO20">
        <v>63</v>
      </c>
      <c r="CP20">
        <v>6.0827625302982193</v>
      </c>
      <c r="CQ20">
        <v>3</v>
      </c>
      <c r="CR20">
        <v>0.10300016403198242</v>
      </c>
      <c r="CS20">
        <v>0.10300016403198242</v>
      </c>
      <c r="CT20">
        <v>2.5120165881191741E-2</v>
      </c>
      <c r="CU20">
        <v>3</v>
      </c>
      <c r="CV20">
        <v>0</v>
      </c>
      <c r="CW20">
        <v>0</v>
      </c>
      <c r="CX20">
        <v>0</v>
      </c>
      <c r="CY20">
        <v>3</v>
      </c>
      <c r="CZ20">
        <v>0</v>
      </c>
      <c r="DA20">
        <v>0</v>
      </c>
      <c r="DB20">
        <v>0</v>
      </c>
      <c r="DC20">
        <v>3</v>
      </c>
      <c r="DD20">
        <v>20</v>
      </c>
      <c r="DE20">
        <v>20</v>
      </c>
      <c r="DF20">
        <v>0</v>
      </c>
      <c r="DG20">
        <v>3</v>
      </c>
      <c r="DH20">
        <v>18.666666666666668</v>
      </c>
      <c r="DI20">
        <v>18.666666666666668</v>
      </c>
      <c r="DJ20">
        <v>1.5275252316519465</v>
      </c>
      <c r="DK20">
        <v>3</v>
      </c>
      <c r="DL20">
        <v>31</v>
      </c>
      <c r="DM20">
        <v>31</v>
      </c>
      <c r="DN20">
        <v>1.7320508075688772</v>
      </c>
      <c r="DO20">
        <v>3</v>
      </c>
      <c r="DP20">
        <v>31</v>
      </c>
      <c r="DQ20">
        <v>31</v>
      </c>
      <c r="DR20">
        <v>1.7320508075688772</v>
      </c>
      <c r="DS20">
        <v>3</v>
      </c>
      <c r="DT20">
        <v>12.333333333333334</v>
      </c>
      <c r="DU20">
        <v>12.333333333333334</v>
      </c>
      <c r="DV20">
        <v>2.5166114784235836</v>
      </c>
      <c r="DW20">
        <v>3</v>
      </c>
      <c r="DX20">
        <v>1</v>
      </c>
      <c r="DY20">
        <v>1</v>
      </c>
      <c r="DZ20">
        <v>1</v>
      </c>
      <c r="EA20">
        <v>3</v>
      </c>
      <c r="EB20">
        <v>4.333333333333333</v>
      </c>
      <c r="EC20">
        <v>4.333333333333333</v>
      </c>
      <c r="ED20">
        <v>0.57735026918962584</v>
      </c>
      <c r="EE20">
        <v>3</v>
      </c>
      <c r="EF20">
        <v>0</v>
      </c>
      <c r="EG20">
        <v>0</v>
      </c>
      <c r="EH20">
        <v>0</v>
      </c>
      <c r="EI20">
        <v>3</v>
      </c>
      <c r="EJ20">
        <v>0</v>
      </c>
      <c r="EK20">
        <v>0</v>
      </c>
      <c r="EL20">
        <v>0</v>
      </c>
      <c r="EM20">
        <v>3</v>
      </c>
      <c r="EN20">
        <v>0</v>
      </c>
      <c r="EO20">
        <v>0</v>
      </c>
      <c r="EP20">
        <v>0</v>
      </c>
      <c r="EQ20">
        <v>3</v>
      </c>
      <c r="ER20">
        <v>0</v>
      </c>
      <c r="ES20">
        <v>0</v>
      </c>
      <c r="ET20">
        <v>0</v>
      </c>
    </row>
    <row r="21" spans="1:150" x14ac:dyDescent="0.25">
      <c r="A21" t="s">
        <v>329</v>
      </c>
      <c r="B21">
        <v>0.7</v>
      </c>
      <c r="C21">
        <v>3</v>
      </c>
      <c r="D21">
        <v>3</v>
      </c>
      <c r="E21">
        <v>3</v>
      </c>
      <c r="F21">
        <v>0</v>
      </c>
      <c r="G21">
        <v>3</v>
      </c>
      <c r="H21">
        <v>0</v>
      </c>
      <c r="I21">
        <v>100</v>
      </c>
      <c r="J21">
        <v>0</v>
      </c>
      <c r="K21">
        <v>3</v>
      </c>
      <c r="L21">
        <v>908.88936235702124</v>
      </c>
      <c r="M21">
        <v>908.88936235702124</v>
      </c>
      <c r="N21">
        <v>57.271877740758619</v>
      </c>
      <c r="O21">
        <v>3</v>
      </c>
      <c r="P21">
        <v>870.42446882402817</v>
      </c>
      <c r="Q21">
        <v>870.42446882402817</v>
      </c>
      <c r="R21">
        <v>14.883062994340753</v>
      </c>
      <c r="S21">
        <v>3</v>
      </c>
      <c r="T21">
        <v>216.07661590871575</v>
      </c>
      <c r="U21">
        <v>216.07661590871575</v>
      </c>
      <c r="V21">
        <v>0</v>
      </c>
      <c r="W21">
        <v>3</v>
      </c>
      <c r="X21">
        <v>75.170890276570532</v>
      </c>
      <c r="Y21">
        <v>75.170890276570532</v>
      </c>
      <c r="Z21">
        <v>0.42362711959887539</v>
      </c>
      <c r="AA21">
        <v>3</v>
      </c>
      <c r="AB21">
        <v>524.09113656548652</v>
      </c>
      <c r="AC21">
        <v>524.09113656548652</v>
      </c>
      <c r="AD21">
        <v>3.6269694495836795</v>
      </c>
      <c r="AE21">
        <v>3</v>
      </c>
      <c r="AF21">
        <v>35.429260026166631</v>
      </c>
      <c r="AG21">
        <v>35.429260026166631</v>
      </c>
      <c r="AH21">
        <v>2.9932505009245194</v>
      </c>
      <c r="AI21">
        <v>3</v>
      </c>
      <c r="AJ21">
        <v>281.09113656548385</v>
      </c>
      <c r="AK21">
        <v>281.09113656548385</v>
      </c>
      <c r="AL21">
        <v>3.6269694495848848</v>
      </c>
      <c r="AM21">
        <v>3</v>
      </c>
      <c r="AN21">
        <v>0</v>
      </c>
      <c r="AO21">
        <v>0</v>
      </c>
      <c r="AP21">
        <v>0</v>
      </c>
      <c r="AQ21">
        <v>3</v>
      </c>
      <c r="AR21">
        <v>298.12935666891252</v>
      </c>
      <c r="AS21">
        <v>298.12935666891252</v>
      </c>
      <c r="AT21">
        <v>53.002081147146008</v>
      </c>
      <c r="AU21">
        <v>3</v>
      </c>
      <c r="AV21">
        <v>29.812935666891253</v>
      </c>
      <c r="AW21">
        <v>29.812935666891253</v>
      </c>
      <c r="AX21">
        <v>5.3002081147145992</v>
      </c>
      <c r="AY21">
        <v>3</v>
      </c>
      <c r="AZ21">
        <v>13.224666674931845</v>
      </c>
      <c r="BA21">
        <v>13.224666674931845</v>
      </c>
      <c r="BB21">
        <v>8.4275884041221296</v>
      </c>
      <c r="BC21">
        <v>3</v>
      </c>
      <c r="BD21">
        <v>39.647333304087319</v>
      </c>
      <c r="BE21">
        <v>39.647333304087319</v>
      </c>
      <c r="BF21">
        <v>31.006715565051881</v>
      </c>
      <c r="BG21">
        <v>3</v>
      </c>
      <c r="BH21">
        <v>300.07499996821088</v>
      </c>
      <c r="BI21">
        <v>300.07499996821088</v>
      </c>
      <c r="BJ21">
        <v>4.622773782188716E-2</v>
      </c>
      <c r="BK21">
        <v>3</v>
      </c>
      <c r="BL21">
        <v>295.38366905848187</v>
      </c>
      <c r="BM21">
        <v>295.38366905848187</v>
      </c>
      <c r="BN21">
        <v>0.50669265999125179</v>
      </c>
      <c r="BO21">
        <v>3</v>
      </c>
      <c r="BP21">
        <v>4.6913309097290039</v>
      </c>
      <c r="BQ21">
        <v>4.6913309097290039</v>
      </c>
      <c r="BR21">
        <v>0.48871474067692261</v>
      </c>
      <c r="BS21">
        <v>3</v>
      </c>
      <c r="BT21">
        <v>525</v>
      </c>
      <c r="BU21">
        <v>525</v>
      </c>
      <c r="BV21">
        <v>69.778220097678044</v>
      </c>
      <c r="BW21">
        <v>3</v>
      </c>
      <c r="BX21">
        <v>1</v>
      </c>
      <c r="BY21">
        <v>1</v>
      </c>
      <c r="BZ21">
        <v>0</v>
      </c>
      <c r="CA21">
        <v>3</v>
      </c>
      <c r="CB21">
        <v>38.666666666666664</v>
      </c>
      <c r="CC21">
        <v>38.666666666666664</v>
      </c>
      <c r="CD21">
        <v>8.1445278152470788</v>
      </c>
      <c r="CE21">
        <v>3</v>
      </c>
      <c r="CF21">
        <v>130</v>
      </c>
      <c r="CG21">
        <v>130</v>
      </c>
      <c r="CH21">
        <v>22.715633383201094</v>
      </c>
      <c r="CI21">
        <v>3</v>
      </c>
      <c r="CJ21">
        <v>234.68900148073831</v>
      </c>
      <c r="CK21">
        <v>234.68900148073831</v>
      </c>
      <c r="CL21">
        <v>0.88668590600562169</v>
      </c>
      <c r="CM21">
        <v>3</v>
      </c>
      <c r="CN21">
        <v>331</v>
      </c>
      <c r="CO21">
        <v>331</v>
      </c>
      <c r="CP21">
        <v>140.11423910509595</v>
      </c>
      <c r="CQ21">
        <v>3</v>
      </c>
      <c r="CR21">
        <v>0.29533505439758301</v>
      </c>
      <c r="CS21">
        <v>0.29533505439758301</v>
      </c>
      <c r="CT21">
        <v>9.2523863389089786E-2</v>
      </c>
      <c r="CU21">
        <v>3</v>
      </c>
      <c r="CV21">
        <v>0</v>
      </c>
      <c r="CW21">
        <v>0</v>
      </c>
      <c r="CX21">
        <v>0</v>
      </c>
      <c r="CY21">
        <v>3</v>
      </c>
      <c r="CZ21">
        <v>0</v>
      </c>
      <c r="DA21">
        <v>0</v>
      </c>
      <c r="DB21">
        <v>0</v>
      </c>
      <c r="DC21">
        <v>3</v>
      </c>
      <c r="DD21">
        <v>11</v>
      </c>
      <c r="DE21">
        <v>11</v>
      </c>
      <c r="DF21">
        <v>3.4641016151377544</v>
      </c>
      <c r="DG21">
        <v>3</v>
      </c>
      <c r="DH21">
        <v>4</v>
      </c>
      <c r="DI21">
        <v>4</v>
      </c>
      <c r="DJ21">
        <v>0</v>
      </c>
      <c r="DK21">
        <v>3</v>
      </c>
      <c r="DL21">
        <v>13</v>
      </c>
      <c r="DM21">
        <v>13</v>
      </c>
      <c r="DN21">
        <v>0</v>
      </c>
      <c r="DO21">
        <v>3</v>
      </c>
      <c r="DP21">
        <v>10</v>
      </c>
      <c r="DQ21">
        <v>10</v>
      </c>
      <c r="DR21">
        <v>1.7320508075688772</v>
      </c>
      <c r="DS21">
        <v>3</v>
      </c>
      <c r="DT21">
        <v>9.3333333333333339</v>
      </c>
      <c r="DU21">
        <v>9.3333333333333339</v>
      </c>
      <c r="DV21">
        <v>2.3094010767585034</v>
      </c>
      <c r="DW21">
        <v>3</v>
      </c>
      <c r="DX21">
        <v>0.66666666666666663</v>
      </c>
      <c r="DY21">
        <v>0.66666666666666663</v>
      </c>
      <c r="DZ21">
        <v>0.57735026918962584</v>
      </c>
      <c r="EA21">
        <v>3</v>
      </c>
      <c r="EB21">
        <v>4.666666666666667</v>
      </c>
      <c r="EC21">
        <v>4.666666666666667</v>
      </c>
      <c r="ED21">
        <v>0.57735026918962584</v>
      </c>
      <c r="EE21">
        <v>3</v>
      </c>
      <c r="EF21">
        <v>0</v>
      </c>
      <c r="EG21">
        <v>0</v>
      </c>
      <c r="EH21">
        <v>0</v>
      </c>
      <c r="EI21">
        <v>3</v>
      </c>
      <c r="EJ21">
        <v>0</v>
      </c>
      <c r="EK21">
        <v>0</v>
      </c>
      <c r="EL21">
        <v>0</v>
      </c>
      <c r="EM21">
        <v>3</v>
      </c>
      <c r="EN21">
        <v>0</v>
      </c>
      <c r="EO21">
        <v>0</v>
      </c>
      <c r="EP21">
        <v>0</v>
      </c>
      <c r="EQ21">
        <v>3</v>
      </c>
      <c r="ER21">
        <v>0</v>
      </c>
      <c r="ES21">
        <v>0</v>
      </c>
      <c r="ET21">
        <v>0</v>
      </c>
    </row>
    <row r="22" spans="1:150" x14ac:dyDescent="0.25">
      <c r="A22" t="s">
        <v>330</v>
      </c>
      <c r="B22">
        <v>0.7</v>
      </c>
      <c r="C22">
        <v>3</v>
      </c>
      <c r="D22">
        <v>3</v>
      </c>
      <c r="E22">
        <v>3</v>
      </c>
      <c r="F22">
        <v>0</v>
      </c>
      <c r="G22">
        <v>3</v>
      </c>
      <c r="H22">
        <v>0</v>
      </c>
      <c r="I22">
        <v>100</v>
      </c>
      <c r="J22">
        <v>0</v>
      </c>
      <c r="K22">
        <v>3</v>
      </c>
      <c r="L22">
        <v>1084.4190009431579</v>
      </c>
      <c r="M22">
        <v>1084.4190009431579</v>
      </c>
      <c r="N22">
        <v>18.310647309242253</v>
      </c>
      <c r="O22">
        <v>3</v>
      </c>
      <c r="P22">
        <v>1039.3079995364112</v>
      </c>
      <c r="Q22">
        <v>1039.3079995364112</v>
      </c>
      <c r="R22">
        <v>13.550543650314449</v>
      </c>
      <c r="S22">
        <v>3</v>
      </c>
      <c r="T22">
        <v>245.95348462656975</v>
      </c>
      <c r="U22">
        <v>245.95348462656975</v>
      </c>
      <c r="V22">
        <v>3.4809342861069267E-14</v>
      </c>
      <c r="W22">
        <v>3</v>
      </c>
      <c r="X22">
        <v>76.332217187691796</v>
      </c>
      <c r="Y22">
        <v>76.332217187691796</v>
      </c>
      <c r="Z22">
        <v>0.30635866555070707</v>
      </c>
      <c r="AA22">
        <v>3</v>
      </c>
      <c r="AB22">
        <v>621.9488383409672</v>
      </c>
      <c r="AC22">
        <v>621.9488383409672</v>
      </c>
      <c r="AD22">
        <v>9.846382942272017</v>
      </c>
      <c r="AE22">
        <v>3</v>
      </c>
      <c r="AF22">
        <v>15.18503276676349</v>
      </c>
      <c r="AG22">
        <v>15.18503276676349</v>
      </c>
      <c r="AH22">
        <v>2.1755839288168292E-15</v>
      </c>
      <c r="AI22">
        <v>3</v>
      </c>
      <c r="AJ22">
        <v>378.94883834095566</v>
      </c>
      <c r="AK22">
        <v>378.94883834095566</v>
      </c>
      <c r="AL22">
        <v>9.8463829422719762</v>
      </c>
      <c r="AM22">
        <v>3</v>
      </c>
      <c r="AN22">
        <v>0</v>
      </c>
      <c r="AO22">
        <v>0</v>
      </c>
      <c r="AP22">
        <v>0</v>
      </c>
      <c r="AQ22">
        <v>3</v>
      </c>
      <c r="AR22">
        <v>232.25290087724898</v>
      </c>
      <c r="AS22">
        <v>232.25290087724898</v>
      </c>
      <c r="AT22">
        <v>61.445792184895105</v>
      </c>
      <c r="AU22">
        <v>3</v>
      </c>
      <c r="AV22">
        <v>23.225290087724897</v>
      </c>
      <c r="AW22">
        <v>23.225290087724897</v>
      </c>
      <c r="AX22">
        <v>6.1445792184895103</v>
      </c>
      <c r="AY22">
        <v>3</v>
      </c>
      <c r="AZ22">
        <v>3.2143332163492837</v>
      </c>
      <c r="BA22">
        <v>3.2143332163492837</v>
      </c>
      <c r="BB22">
        <v>3.2048354174283338</v>
      </c>
      <c r="BC22">
        <v>3</v>
      </c>
      <c r="BD22">
        <v>35.552333196004234</v>
      </c>
      <c r="BE22">
        <v>35.552333196004234</v>
      </c>
      <c r="BF22">
        <v>9.3281730931090827</v>
      </c>
      <c r="BG22">
        <v>3</v>
      </c>
      <c r="BH22">
        <v>300.27766664822894</v>
      </c>
      <c r="BI22">
        <v>300.27766664822894</v>
      </c>
      <c r="BJ22">
        <v>0.13604527447734024</v>
      </c>
      <c r="BK22">
        <v>3</v>
      </c>
      <c r="BL22">
        <v>293.65099859237671</v>
      </c>
      <c r="BM22">
        <v>293.65099859237671</v>
      </c>
      <c r="BN22">
        <v>0.56544876082070827</v>
      </c>
      <c r="BO22">
        <v>3</v>
      </c>
      <c r="BP22">
        <v>6.6266680558522539</v>
      </c>
      <c r="BQ22">
        <v>6.6266680558522539</v>
      </c>
      <c r="BR22">
        <v>0.57668019631447154</v>
      </c>
      <c r="BS22">
        <v>3</v>
      </c>
      <c r="BT22">
        <v>574</v>
      </c>
      <c r="BU22">
        <v>574</v>
      </c>
      <c r="BV22">
        <v>37.986839826445156</v>
      </c>
      <c r="BW22">
        <v>3</v>
      </c>
      <c r="BX22">
        <v>1</v>
      </c>
      <c r="BY22">
        <v>1</v>
      </c>
      <c r="BZ22">
        <v>0</v>
      </c>
      <c r="CA22">
        <v>3</v>
      </c>
      <c r="CB22">
        <v>45.333333333333336</v>
      </c>
      <c r="CC22">
        <v>45.333333333333336</v>
      </c>
      <c r="CD22">
        <v>3.7859388972001828</v>
      </c>
      <c r="CE22">
        <v>3</v>
      </c>
      <c r="CF22">
        <v>149.33333333333334</v>
      </c>
      <c r="CG22">
        <v>149.33333333333334</v>
      </c>
      <c r="CH22">
        <v>9.8657657246324941</v>
      </c>
      <c r="CI22">
        <v>3</v>
      </c>
      <c r="CJ22">
        <v>252.13466588656107</v>
      </c>
      <c r="CK22">
        <v>252.13466588656107</v>
      </c>
      <c r="CL22">
        <v>12.92460013734453</v>
      </c>
      <c r="CM22">
        <v>3</v>
      </c>
      <c r="CN22">
        <v>141.33333333333334</v>
      </c>
      <c r="CO22">
        <v>141.33333333333334</v>
      </c>
      <c r="CP22">
        <v>146.06961810497532</v>
      </c>
      <c r="CQ22">
        <v>3</v>
      </c>
      <c r="CR22">
        <v>0.23099986712137857</v>
      </c>
      <c r="CS22">
        <v>0.23099986712137857</v>
      </c>
      <c r="CT22">
        <v>9.5974207831018787E-2</v>
      </c>
      <c r="CU22">
        <v>3</v>
      </c>
      <c r="CV22">
        <v>0</v>
      </c>
      <c r="CW22">
        <v>0</v>
      </c>
      <c r="CX22">
        <v>0</v>
      </c>
      <c r="CY22">
        <v>3</v>
      </c>
      <c r="CZ22">
        <v>0</v>
      </c>
      <c r="DA22">
        <v>0</v>
      </c>
      <c r="DB22">
        <v>0</v>
      </c>
      <c r="DC22">
        <v>3</v>
      </c>
      <c r="DD22">
        <v>20</v>
      </c>
      <c r="DE22">
        <v>20</v>
      </c>
      <c r="DF22">
        <v>0</v>
      </c>
      <c r="DG22">
        <v>3</v>
      </c>
      <c r="DH22">
        <v>6.333333333333333</v>
      </c>
      <c r="DI22">
        <v>6.333333333333333</v>
      </c>
      <c r="DJ22">
        <v>1.5275252316519465</v>
      </c>
      <c r="DK22">
        <v>3</v>
      </c>
      <c r="DL22">
        <v>15.333333333333334</v>
      </c>
      <c r="DM22">
        <v>15.333333333333334</v>
      </c>
      <c r="DN22">
        <v>2.0816659994661326</v>
      </c>
      <c r="DO22">
        <v>3</v>
      </c>
      <c r="DP22">
        <v>15.333333333333334</v>
      </c>
      <c r="DQ22">
        <v>15.333333333333334</v>
      </c>
      <c r="DR22">
        <v>2.0816659994661326</v>
      </c>
      <c r="DS22">
        <v>3</v>
      </c>
      <c r="DT22">
        <v>13.333333333333334</v>
      </c>
      <c r="DU22">
        <v>13.333333333333334</v>
      </c>
      <c r="DV22">
        <v>3.7859388972001824</v>
      </c>
      <c r="DW22">
        <v>3</v>
      </c>
      <c r="DX22">
        <v>1.3333333333333333</v>
      </c>
      <c r="DY22">
        <v>1.3333333333333333</v>
      </c>
      <c r="DZ22">
        <v>0.57735026918962573</v>
      </c>
      <c r="EA22">
        <v>3</v>
      </c>
      <c r="EB22">
        <v>4.333333333333333</v>
      </c>
      <c r="EC22">
        <v>4.333333333333333</v>
      </c>
      <c r="ED22">
        <v>0.57735026918962584</v>
      </c>
      <c r="EE22">
        <v>3</v>
      </c>
      <c r="EF22">
        <v>0</v>
      </c>
      <c r="EG22">
        <v>0</v>
      </c>
      <c r="EH22">
        <v>0</v>
      </c>
      <c r="EI22">
        <v>3</v>
      </c>
      <c r="EJ22">
        <v>0</v>
      </c>
      <c r="EK22">
        <v>0</v>
      </c>
      <c r="EL22">
        <v>0</v>
      </c>
      <c r="EM22">
        <v>3</v>
      </c>
      <c r="EN22">
        <v>0</v>
      </c>
      <c r="EO22">
        <v>0</v>
      </c>
      <c r="EP22">
        <v>0</v>
      </c>
      <c r="EQ22">
        <v>3</v>
      </c>
      <c r="ER22">
        <v>0</v>
      </c>
      <c r="ES22">
        <v>0</v>
      </c>
      <c r="ET22">
        <v>0</v>
      </c>
    </row>
    <row r="23" spans="1:150" x14ac:dyDescent="0.25">
      <c r="A23" t="s">
        <v>331</v>
      </c>
      <c r="B23">
        <v>0.7</v>
      </c>
      <c r="C23">
        <v>3</v>
      </c>
      <c r="D23">
        <v>3</v>
      </c>
      <c r="E23">
        <v>3</v>
      </c>
      <c r="F23">
        <v>0</v>
      </c>
      <c r="G23">
        <v>3</v>
      </c>
      <c r="H23">
        <v>0</v>
      </c>
      <c r="I23">
        <v>100</v>
      </c>
      <c r="J23">
        <v>0</v>
      </c>
      <c r="K23">
        <v>3</v>
      </c>
      <c r="L23">
        <v>328.32347192670437</v>
      </c>
      <c r="M23">
        <v>328.32347192670437</v>
      </c>
      <c r="N23">
        <v>4.5114534907513875</v>
      </c>
      <c r="O23">
        <v>3</v>
      </c>
      <c r="P23">
        <v>290.20459295136777</v>
      </c>
      <c r="Q23">
        <v>290.20459295136777</v>
      </c>
      <c r="R23">
        <v>0.18759448992226793</v>
      </c>
      <c r="S23">
        <v>3</v>
      </c>
      <c r="T23">
        <v>281.01757907044879</v>
      </c>
      <c r="U23">
        <v>281.01757907044879</v>
      </c>
      <c r="V23">
        <v>2.9109322301512868</v>
      </c>
      <c r="W23">
        <v>3</v>
      </c>
      <c r="X23">
        <v>3.1660578081505477</v>
      </c>
      <c r="Y23">
        <v>3.1660578081505477</v>
      </c>
      <c r="Z23">
        <v>0.94794370899279545</v>
      </c>
      <c r="AA23">
        <v>3</v>
      </c>
      <c r="AB23">
        <v>290.20459295136777</v>
      </c>
      <c r="AC23">
        <v>290.20459295136777</v>
      </c>
      <c r="AD23">
        <v>0.18759448992226793</v>
      </c>
      <c r="AE23">
        <v>3</v>
      </c>
      <c r="AF23">
        <v>0</v>
      </c>
      <c r="AG23">
        <v>0</v>
      </c>
      <c r="AH23">
        <v>0</v>
      </c>
      <c r="AI23">
        <v>3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0</v>
      </c>
      <c r="AU23">
        <v>3</v>
      </c>
      <c r="AV23">
        <v>0</v>
      </c>
      <c r="AW23">
        <v>0</v>
      </c>
      <c r="AX23">
        <v>0</v>
      </c>
      <c r="AY23">
        <v>3</v>
      </c>
      <c r="AZ23">
        <v>0.2176666259765625</v>
      </c>
      <c r="BA23">
        <v>0.2176666259765625</v>
      </c>
      <c r="BB23">
        <v>3.1501423617055796E-2</v>
      </c>
      <c r="BC23">
        <v>3</v>
      </c>
      <c r="BD23">
        <v>163.35500001907349</v>
      </c>
      <c r="BE23">
        <v>163.35500001907349</v>
      </c>
      <c r="BF23">
        <v>147.87205738982794</v>
      </c>
      <c r="BG23">
        <v>3</v>
      </c>
      <c r="BH23">
        <v>300.13033334414166</v>
      </c>
      <c r="BI23">
        <v>300.13033334414166</v>
      </c>
      <c r="BJ23">
        <v>0.10480628615853897</v>
      </c>
      <c r="BK23">
        <v>3</v>
      </c>
      <c r="BL23">
        <v>298.69766728083295</v>
      </c>
      <c r="BM23">
        <v>298.69766728083295</v>
      </c>
      <c r="BN23">
        <v>0.30386275409744762</v>
      </c>
      <c r="BO23">
        <v>3</v>
      </c>
      <c r="BP23">
        <v>1.4326660633087158</v>
      </c>
      <c r="BQ23">
        <v>1.4326660633087158</v>
      </c>
      <c r="BR23">
        <v>0.22810198721615857</v>
      </c>
      <c r="BS23">
        <v>3</v>
      </c>
      <c r="BT23">
        <v>360</v>
      </c>
      <c r="BU23">
        <v>360</v>
      </c>
      <c r="BV23">
        <v>10.583005244258363</v>
      </c>
      <c r="BW23">
        <v>3</v>
      </c>
      <c r="BX23">
        <v>1</v>
      </c>
      <c r="BY23">
        <v>1</v>
      </c>
      <c r="BZ23">
        <v>0</v>
      </c>
      <c r="CA23">
        <v>3</v>
      </c>
      <c r="CB23">
        <v>7.333333333333333</v>
      </c>
      <c r="CC23">
        <v>7.333333333333333</v>
      </c>
      <c r="CD23">
        <v>2.5166114784235831</v>
      </c>
      <c r="CE23">
        <v>3</v>
      </c>
      <c r="CF23">
        <v>49.666666666666664</v>
      </c>
      <c r="CG23">
        <v>49.666666666666664</v>
      </c>
      <c r="CH23">
        <v>10.016652800877813</v>
      </c>
      <c r="CI23">
        <v>3</v>
      </c>
      <c r="CJ23">
        <v>294.32233262062073</v>
      </c>
      <c r="CK23">
        <v>294.32233262062073</v>
      </c>
      <c r="CL23">
        <v>0.89415046857498925</v>
      </c>
      <c r="CM23">
        <v>3</v>
      </c>
      <c r="CN23">
        <v>59.666666666666664</v>
      </c>
      <c r="CO23">
        <v>59.666666666666664</v>
      </c>
      <c r="CP23">
        <v>3.7859388972001824</v>
      </c>
      <c r="CQ23">
        <v>3</v>
      </c>
      <c r="CR23">
        <v>6.8333943684895829E-2</v>
      </c>
      <c r="CS23">
        <v>6.8333943684895829E-2</v>
      </c>
      <c r="CT23">
        <v>6.3504614916241727E-3</v>
      </c>
      <c r="CU23">
        <v>3</v>
      </c>
      <c r="CV23">
        <v>0</v>
      </c>
      <c r="CW23">
        <v>0</v>
      </c>
      <c r="CX23">
        <v>0</v>
      </c>
      <c r="CY23">
        <v>3</v>
      </c>
      <c r="CZ23">
        <v>0</v>
      </c>
      <c r="DA23">
        <v>0</v>
      </c>
      <c r="DB23">
        <v>0</v>
      </c>
      <c r="DC23">
        <v>3</v>
      </c>
      <c r="DD23">
        <v>20</v>
      </c>
      <c r="DE23">
        <v>20</v>
      </c>
      <c r="DF23">
        <v>0</v>
      </c>
      <c r="DG23">
        <v>3</v>
      </c>
      <c r="DH23">
        <v>18.333333333333332</v>
      </c>
      <c r="DI23">
        <v>18.333333333333332</v>
      </c>
      <c r="DJ23">
        <v>1.5275252316519465</v>
      </c>
      <c r="DK23">
        <v>3</v>
      </c>
      <c r="DL23">
        <v>31.333333333333332</v>
      </c>
      <c r="DM23">
        <v>31.333333333333332</v>
      </c>
      <c r="DN23">
        <v>1.1547005383792515</v>
      </c>
      <c r="DO23">
        <v>3</v>
      </c>
      <c r="DP23">
        <v>31.333333333333332</v>
      </c>
      <c r="DQ23">
        <v>31.333333333333332</v>
      </c>
      <c r="DR23">
        <v>1.1547005383792515</v>
      </c>
      <c r="DS23">
        <v>3</v>
      </c>
      <c r="DT23">
        <v>13</v>
      </c>
      <c r="DU23">
        <v>13</v>
      </c>
      <c r="DV23">
        <v>1.7320508075688772</v>
      </c>
      <c r="DW23">
        <v>3</v>
      </c>
      <c r="DX23">
        <v>0.33333333333333331</v>
      </c>
      <c r="DY23">
        <v>0.33333333333333331</v>
      </c>
      <c r="DZ23">
        <v>0.57735026918962584</v>
      </c>
      <c r="EA23">
        <v>3</v>
      </c>
      <c r="EB23">
        <v>3.6666666666666665</v>
      </c>
      <c r="EC23">
        <v>3.6666666666666665</v>
      </c>
      <c r="ED23">
        <v>0.57735026918962584</v>
      </c>
      <c r="EE23">
        <v>3</v>
      </c>
      <c r="EF23">
        <v>0</v>
      </c>
      <c r="EG23">
        <v>0</v>
      </c>
      <c r="EH23">
        <v>0</v>
      </c>
      <c r="EI23">
        <v>3</v>
      </c>
      <c r="EJ23">
        <v>0</v>
      </c>
      <c r="EK23">
        <v>0</v>
      </c>
      <c r="EL23">
        <v>0</v>
      </c>
      <c r="EM23">
        <v>3</v>
      </c>
      <c r="EN23">
        <v>0</v>
      </c>
      <c r="EO23">
        <v>0</v>
      </c>
      <c r="EP23">
        <v>0</v>
      </c>
      <c r="EQ23">
        <v>3</v>
      </c>
      <c r="ER23">
        <v>0</v>
      </c>
      <c r="ES23">
        <v>0</v>
      </c>
      <c r="ET23">
        <v>0</v>
      </c>
    </row>
    <row r="24" spans="1:150" x14ac:dyDescent="0.25">
      <c r="A24" t="s">
        <v>332</v>
      </c>
      <c r="B24">
        <v>0.7</v>
      </c>
      <c r="C24">
        <v>3</v>
      </c>
      <c r="D24">
        <v>3</v>
      </c>
      <c r="E24">
        <v>3</v>
      </c>
      <c r="F24">
        <v>0</v>
      </c>
      <c r="G24">
        <v>3</v>
      </c>
      <c r="H24">
        <v>0</v>
      </c>
      <c r="I24">
        <v>100</v>
      </c>
      <c r="J24">
        <v>0</v>
      </c>
      <c r="K24">
        <v>3</v>
      </c>
      <c r="L24">
        <v>615.60124220885575</v>
      </c>
      <c r="M24">
        <v>615.60124220885575</v>
      </c>
      <c r="N24">
        <v>44.149730947770941</v>
      </c>
      <c r="O24">
        <v>3</v>
      </c>
      <c r="P24">
        <v>503.04187444360383</v>
      </c>
      <c r="Q24">
        <v>503.04187444360383</v>
      </c>
      <c r="R24">
        <v>13.114075273660717</v>
      </c>
      <c r="S24">
        <v>3</v>
      </c>
      <c r="T24">
        <v>188.26924411640289</v>
      </c>
      <c r="U24">
        <v>188.26924411640289</v>
      </c>
      <c r="V24">
        <v>0</v>
      </c>
      <c r="W24">
        <v>3</v>
      </c>
      <c r="X24">
        <v>62.557120889574584</v>
      </c>
      <c r="Y24">
        <v>62.557120889574584</v>
      </c>
      <c r="Z24">
        <v>0.96214314303220005</v>
      </c>
      <c r="AA24">
        <v>3</v>
      </c>
      <c r="AB24">
        <v>394.45932024138364</v>
      </c>
      <c r="AC24">
        <v>394.45932024138364</v>
      </c>
      <c r="AD24">
        <v>7.7238795035371277</v>
      </c>
      <c r="AE24">
        <v>3</v>
      </c>
      <c r="AF24">
        <v>20.357723880973634</v>
      </c>
      <c r="AG24">
        <v>20.357723880973634</v>
      </c>
      <c r="AH24">
        <v>8.959363821672035</v>
      </c>
      <c r="AI24">
        <v>3</v>
      </c>
      <c r="AJ24">
        <v>76.407479514174781</v>
      </c>
      <c r="AK24">
        <v>76.407479514174781</v>
      </c>
      <c r="AL24">
        <v>7.6947192579193278</v>
      </c>
      <c r="AM24">
        <v>3</v>
      </c>
      <c r="AN24">
        <v>0</v>
      </c>
      <c r="AO24">
        <v>0</v>
      </c>
      <c r="AP24">
        <v>0</v>
      </c>
      <c r="AQ24">
        <v>3</v>
      </c>
      <c r="AR24">
        <v>118.17350807071854</v>
      </c>
      <c r="AS24">
        <v>118.17350807071854</v>
      </c>
      <c r="AT24">
        <v>80.143838835643365</v>
      </c>
      <c r="AU24">
        <v>3</v>
      </c>
      <c r="AV24">
        <v>11.817350807071856</v>
      </c>
      <c r="AW24">
        <v>11.817350807071856</v>
      </c>
      <c r="AX24">
        <v>8.0143838835643368</v>
      </c>
      <c r="AY24">
        <v>3</v>
      </c>
      <c r="AZ24">
        <v>2.8573334217071533</v>
      </c>
      <c r="BA24">
        <v>2.8573334217071533</v>
      </c>
      <c r="BB24">
        <v>1.3702531930338544</v>
      </c>
      <c r="BC24">
        <v>3</v>
      </c>
      <c r="BD24">
        <v>14.757333358128866</v>
      </c>
      <c r="BE24">
        <v>14.757333358128866</v>
      </c>
      <c r="BF24">
        <v>7.9612346767814932</v>
      </c>
      <c r="BG24">
        <v>3</v>
      </c>
      <c r="BH24">
        <v>300.14200003941852</v>
      </c>
      <c r="BI24">
        <v>300.14200003941852</v>
      </c>
      <c r="BJ24">
        <v>0.15678980300998299</v>
      </c>
      <c r="BK24">
        <v>3</v>
      </c>
      <c r="BL24">
        <v>295.09766745567322</v>
      </c>
      <c r="BM24">
        <v>295.09766745567322</v>
      </c>
      <c r="BN24">
        <v>0.73968972044169767</v>
      </c>
      <c r="BO24">
        <v>3</v>
      </c>
      <c r="BP24">
        <v>5.0443325837453203</v>
      </c>
      <c r="BQ24">
        <v>5.0443325837453203</v>
      </c>
      <c r="BR24">
        <v>0.89451740856236306</v>
      </c>
      <c r="BS24">
        <v>3</v>
      </c>
      <c r="BT24">
        <v>768</v>
      </c>
      <c r="BU24">
        <v>768</v>
      </c>
      <c r="BV24">
        <v>188.59480374602055</v>
      </c>
      <c r="BW24">
        <v>3</v>
      </c>
      <c r="BX24">
        <v>1</v>
      </c>
      <c r="BY24">
        <v>1</v>
      </c>
      <c r="BZ24">
        <v>0</v>
      </c>
      <c r="CA24">
        <v>3</v>
      </c>
      <c r="CB24">
        <v>36</v>
      </c>
      <c r="CC24">
        <v>36</v>
      </c>
      <c r="CD24">
        <v>11.269427669584644</v>
      </c>
      <c r="CE24">
        <v>3</v>
      </c>
      <c r="CF24">
        <v>157.66666666666666</v>
      </c>
      <c r="CG24">
        <v>157.66666666666666</v>
      </c>
      <c r="CH24">
        <v>42.829117821096119</v>
      </c>
      <c r="CI24">
        <v>3</v>
      </c>
      <c r="CJ24">
        <v>265.41466752688092</v>
      </c>
      <c r="CK24">
        <v>265.41466752688092</v>
      </c>
      <c r="CL24">
        <v>7.9784262650359041</v>
      </c>
      <c r="CM24">
        <v>3</v>
      </c>
      <c r="CN24">
        <v>145.33333333333334</v>
      </c>
      <c r="CO24">
        <v>145.33333333333334</v>
      </c>
      <c r="CP24">
        <v>57.500724633115126</v>
      </c>
      <c r="CQ24">
        <v>3</v>
      </c>
      <c r="CR24">
        <v>0.35399993260701496</v>
      </c>
      <c r="CS24">
        <v>0.35399993260701496</v>
      </c>
      <c r="CT24">
        <v>6.0109001841324443E-2</v>
      </c>
      <c r="CU24">
        <v>3</v>
      </c>
      <c r="CV24">
        <v>0</v>
      </c>
      <c r="CW24">
        <v>0</v>
      </c>
      <c r="CX24">
        <v>0</v>
      </c>
      <c r="CY24">
        <v>3</v>
      </c>
      <c r="CZ24">
        <v>0</v>
      </c>
      <c r="DA24">
        <v>0</v>
      </c>
      <c r="DB24">
        <v>0</v>
      </c>
      <c r="DC24">
        <v>3</v>
      </c>
      <c r="DD24">
        <v>20</v>
      </c>
      <c r="DE24">
        <v>20</v>
      </c>
      <c r="DF24">
        <v>0</v>
      </c>
      <c r="DG24">
        <v>3</v>
      </c>
      <c r="DH24">
        <v>10</v>
      </c>
      <c r="DI24">
        <v>10</v>
      </c>
      <c r="DJ24">
        <v>1.7320508075688772</v>
      </c>
      <c r="DK24">
        <v>3</v>
      </c>
      <c r="DL24">
        <v>35.666666666666664</v>
      </c>
      <c r="DM24">
        <v>35.666666666666664</v>
      </c>
      <c r="DN24">
        <v>4.1633319989322661</v>
      </c>
      <c r="DO24">
        <v>3</v>
      </c>
      <c r="DP24">
        <v>25.333333333333332</v>
      </c>
      <c r="DQ24">
        <v>25.333333333333332</v>
      </c>
      <c r="DR24">
        <v>1.1547005383792515</v>
      </c>
      <c r="DS24">
        <v>3</v>
      </c>
      <c r="DT24">
        <v>15.333333333333334</v>
      </c>
      <c r="DU24">
        <v>15.333333333333334</v>
      </c>
      <c r="DV24">
        <v>3.0550504633038931</v>
      </c>
      <c r="DW24">
        <v>3</v>
      </c>
      <c r="DX24">
        <v>1</v>
      </c>
      <c r="DY24">
        <v>1</v>
      </c>
      <c r="DZ24">
        <v>1</v>
      </c>
      <c r="EA24">
        <v>3</v>
      </c>
      <c r="EB24">
        <v>3</v>
      </c>
      <c r="EC24">
        <v>3</v>
      </c>
      <c r="ED24">
        <v>1</v>
      </c>
      <c r="EE24">
        <v>3</v>
      </c>
      <c r="EF24">
        <v>0</v>
      </c>
      <c r="EG24">
        <v>0</v>
      </c>
      <c r="EH24">
        <v>0</v>
      </c>
      <c r="EI24">
        <v>3</v>
      </c>
      <c r="EJ24">
        <v>0</v>
      </c>
      <c r="EK24">
        <v>0</v>
      </c>
      <c r="EL24">
        <v>0</v>
      </c>
      <c r="EM24">
        <v>3</v>
      </c>
      <c r="EN24">
        <v>0</v>
      </c>
      <c r="EO24">
        <v>0</v>
      </c>
      <c r="EP24">
        <v>0</v>
      </c>
      <c r="EQ24">
        <v>3</v>
      </c>
      <c r="ER24">
        <v>0</v>
      </c>
      <c r="ES24">
        <v>0</v>
      </c>
      <c r="ET24">
        <v>0</v>
      </c>
    </row>
    <row r="25" spans="1:150" x14ac:dyDescent="0.25">
      <c r="A25" t="s">
        <v>333</v>
      </c>
      <c r="B25">
        <v>0.7</v>
      </c>
      <c r="C25">
        <v>3</v>
      </c>
      <c r="D25">
        <v>3</v>
      </c>
      <c r="E25">
        <v>3</v>
      </c>
      <c r="F25">
        <v>0</v>
      </c>
      <c r="G25">
        <v>3</v>
      </c>
      <c r="H25">
        <v>0</v>
      </c>
      <c r="I25">
        <v>100</v>
      </c>
      <c r="J25">
        <v>0</v>
      </c>
      <c r="K25">
        <v>3</v>
      </c>
      <c r="L25">
        <v>800.06530506006823</v>
      </c>
      <c r="M25">
        <v>800.06530506006823</v>
      </c>
      <c r="N25">
        <v>31.895156448994438</v>
      </c>
      <c r="O25">
        <v>3</v>
      </c>
      <c r="P25">
        <v>733.14183085297179</v>
      </c>
      <c r="Q25">
        <v>733.14183085297179</v>
      </c>
      <c r="R25">
        <v>7.608606081886248</v>
      </c>
      <c r="S25">
        <v>3</v>
      </c>
      <c r="T25">
        <v>226.6822794638687</v>
      </c>
      <c r="U25">
        <v>226.6822794638687</v>
      </c>
      <c r="V25">
        <v>0</v>
      </c>
      <c r="W25">
        <v>3</v>
      </c>
      <c r="X25">
        <v>69.078484722867998</v>
      </c>
      <c r="Y25">
        <v>69.078484722867998</v>
      </c>
      <c r="Z25">
        <v>0.32103234222380805</v>
      </c>
      <c r="AA25">
        <v>3</v>
      </c>
      <c r="AB25">
        <v>504.30772006656611</v>
      </c>
      <c r="AC25">
        <v>504.30772006656611</v>
      </c>
      <c r="AD25">
        <v>3.265903836588361</v>
      </c>
      <c r="AE25">
        <v>3</v>
      </c>
      <c r="AF25">
        <v>28.747841397408752</v>
      </c>
      <c r="AG25">
        <v>28.747841397408752</v>
      </c>
      <c r="AH25">
        <v>3.3866178234048303</v>
      </c>
      <c r="AI25">
        <v>3</v>
      </c>
      <c r="AJ25">
        <v>180.30772006656221</v>
      </c>
      <c r="AK25">
        <v>180.30772006656221</v>
      </c>
      <c r="AL25">
        <v>3.2659038365872881</v>
      </c>
      <c r="AM25">
        <v>3</v>
      </c>
      <c r="AN25">
        <v>0</v>
      </c>
      <c r="AO25">
        <v>0</v>
      </c>
      <c r="AP25">
        <v>0</v>
      </c>
      <c r="AQ25">
        <v>3</v>
      </c>
      <c r="AR25">
        <v>197.78549322434651</v>
      </c>
      <c r="AS25">
        <v>197.78549322434651</v>
      </c>
      <c r="AT25">
        <v>24.192204192774007</v>
      </c>
      <c r="AU25">
        <v>3</v>
      </c>
      <c r="AV25">
        <v>19.778549322434653</v>
      </c>
      <c r="AW25">
        <v>19.778549322434653</v>
      </c>
      <c r="AX25">
        <v>2.4192204192774018</v>
      </c>
      <c r="AY25">
        <v>3</v>
      </c>
      <c r="AZ25">
        <v>8.3220000267028809</v>
      </c>
      <c r="BA25">
        <v>8.3220000267028809</v>
      </c>
      <c r="BB25">
        <v>10.292256350538594</v>
      </c>
      <c r="BC25">
        <v>3</v>
      </c>
      <c r="BD25">
        <v>50.13933332761129</v>
      </c>
      <c r="BE25">
        <v>50.13933332761129</v>
      </c>
      <c r="BF25">
        <v>15.095122574012604</v>
      </c>
      <c r="BG25">
        <v>3</v>
      </c>
      <c r="BH25">
        <v>300.11533331871033</v>
      </c>
      <c r="BI25">
        <v>300.11533331871033</v>
      </c>
      <c r="BJ25">
        <v>3.8017531149161989E-2</v>
      </c>
      <c r="BK25">
        <v>3</v>
      </c>
      <c r="BL25">
        <v>295.3663335641225</v>
      </c>
      <c r="BM25">
        <v>295.3663335641225</v>
      </c>
      <c r="BN25">
        <v>0.28018925634360903</v>
      </c>
      <c r="BO25">
        <v>3</v>
      </c>
      <c r="BP25">
        <v>4.7489997545878095</v>
      </c>
      <c r="BQ25">
        <v>4.7489997545878095</v>
      </c>
      <c r="BR25">
        <v>0.27548583933760956</v>
      </c>
      <c r="BS25">
        <v>3</v>
      </c>
      <c r="BT25">
        <v>660</v>
      </c>
      <c r="BU25">
        <v>660</v>
      </c>
      <c r="BV25">
        <v>56</v>
      </c>
      <c r="BW25">
        <v>3</v>
      </c>
      <c r="BX25">
        <v>1</v>
      </c>
      <c r="BY25">
        <v>1</v>
      </c>
      <c r="BZ25">
        <v>0</v>
      </c>
      <c r="CA25">
        <v>3</v>
      </c>
      <c r="CB25">
        <v>21</v>
      </c>
      <c r="CC25">
        <v>21</v>
      </c>
      <c r="CD25">
        <v>4.5825756949558398</v>
      </c>
      <c r="CE25">
        <v>3</v>
      </c>
      <c r="CF25">
        <v>100.66666666666667</v>
      </c>
      <c r="CG25">
        <v>100.66666666666667</v>
      </c>
      <c r="CH25">
        <v>17.473789896108212</v>
      </c>
      <c r="CI25">
        <v>3</v>
      </c>
      <c r="CJ25">
        <v>235.52166724205017</v>
      </c>
      <c r="CK25">
        <v>235.52166724205017</v>
      </c>
      <c r="CL25">
        <v>0.4893025397082239</v>
      </c>
      <c r="CM25">
        <v>3</v>
      </c>
      <c r="CN25">
        <v>100.33333333333333</v>
      </c>
      <c r="CO25">
        <v>100.33333333333333</v>
      </c>
      <c r="CP25">
        <v>12.220201853215574</v>
      </c>
      <c r="CQ25">
        <v>3</v>
      </c>
      <c r="CR25">
        <v>0.27866649627685547</v>
      </c>
      <c r="CS25">
        <v>0.27866649627685547</v>
      </c>
      <c r="CT25">
        <v>5.672087344864981E-2</v>
      </c>
      <c r="CU25">
        <v>3</v>
      </c>
      <c r="CV25">
        <v>0</v>
      </c>
      <c r="CW25">
        <v>0</v>
      </c>
      <c r="CX25">
        <v>0</v>
      </c>
      <c r="CY25">
        <v>3</v>
      </c>
      <c r="CZ25">
        <v>0</v>
      </c>
      <c r="DA25">
        <v>0</v>
      </c>
      <c r="DB25">
        <v>0</v>
      </c>
      <c r="DC25">
        <v>3</v>
      </c>
      <c r="DD25">
        <v>11.333333333333334</v>
      </c>
      <c r="DE25">
        <v>11.333333333333334</v>
      </c>
      <c r="DF25">
        <v>2.5166114784235836</v>
      </c>
      <c r="DG25">
        <v>3</v>
      </c>
      <c r="DH25">
        <v>9.3333333333333339</v>
      </c>
      <c r="DI25">
        <v>9.3333333333333339</v>
      </c>
      <c r="DJ25">
        <v>1.1547005383792517</v>
      </c>
      <c r="DK25">
        <v>3</v>
      </c>
      <c r="DL25">
        <v>21</v>
      </c>
      <c r="DM25">
        <v>21</v>
      </c>
      <c r="DN25">
        <v>1</v>
      </c>
      <c r="DO25">
        <v>3</v>
      </c>
      <c r="DP25">
        <v>18.666666666666668</v>
      </c>
      <c r="DQ25">
        <v>18.666666666666668</v>
      </c>
      <c r="DR25">
        <v>1.1547005383792515</v>
      </c>
      <c r="DS25">
        <v>3</v>
      </c>
      <c r="DT25">
        <v>10</v>
      </c>
      <c r="DU25">
        <v>10</v>
      </c>
      <c r="DV25">
        <v>1</v>
      </c>
      <c r="DW25">
        <v>3</v>
      </c>
      <c r="DX25">
        <v>1.6666666666666667</v>
      </c>
      <c r="DY25">
        <v>1.6666666666666667</v>
      </c>
      <c r="DZ25">
        <v>2.0816659994661326</v>
      </c>
      <c r="EA25">
        <v>3</v>
      </c>
      <c r="EB25">
        <v>4</v>
      </c>
      <c r="EC25">
        <v>4</v>
      </c>
      <c r="ED25">
        <v>0</v>
      </c>
      <c r="EE25">
        <v>3</v>
      </c>
      <c r="EF25">
        <v>0</v>
      </c>
      <c r="EG25">
        <v>0</v>
      </c>
      <c r="EH25">
        <v>0</v>
      </c>
      <c r="EI25">
        <v>3</v>
      </c>
      <c r="EJ25">
        <v>0</v>
      </c>
      <c r="EK25">
        <v>0</v>
      </c>
      <c r="EL25">
        <v>0</v>
      </c>
      <c r="EM25">
        <v>3</v>
      </c>
      <c r="EN25">
        <v>0</v>
      </c>
      <c r="EO25">
        <v>0</v>
      </c>
      <c r="EP25">
        <v>0</v>
      </c>
      <c r="EQ25">
        <v>3</v>
      </c>
      <c r="ER25">
        <v>0</v>
      </c>
      <c r="ES25">
        <v>0</v>
      </c>
      <c r="ET25">
        <v>0</v>
      </c>
    </row>
    <row r="26" spans="1:150" x14ac:dyDescent="0.25">
      <c r="A26" t="s">
        <v>334</v>
      </c>
      <c r="B26">
        <v>0.7</v>
      </c>
      <c r="C26">
        <v>3</v>
      </c>
      <c r="D26">
        <v>3</v>
      </c>
      <c r="E26">
        <v>3</v>
      </c>
      <c r="F26">
        <v>0</v>
      </c>
      <c r="G26">
        <v>3</v>
      </c>
      <c r="H26">
        <v>0</v>
      </c>
      <c r="I26">
        <v>100</v>
      </c>
      <c r="J26">
        <v>0</v>
      </c>
      <c r="K26">
        <v>3</v>
      </c>
      <c r="L26">
        <v>1019.8118147282839</v>
      </c>
      <c r="M26">
        <v>1019.8118147282839</v>
      </c>
      <c r="N26">
        <v>86.450683465101477</v>
      </c>
      <c r="O26">
        <v>3</v>
      </c>
      <c r="P26">
        <v>943.329148159802</v>
      </c>
      <c r="Q26">
        <v>943.329148159802</v>
      </c>
      <c r="R26">
        <v>10.255456645495325</v>
      </c>
      <c r="S26">
        <v>3</v>
      </c>
      <c r="T26">
        <v>276.97828046515866</v>
      </c>
      <c r="U26">
        <v>276.97828046515866</v>
      </c>
      <c r="V26">
        <v>0</v>
      </c>
      <c r="W26">
        <v>3</v>
      </c>
      <c r="X26">
        <v>70.63589005397192</v>
      </c>
      <c r="Y26">
        <v>70.63589005397192</v>
      </c>
      <c r="Z26">
        <v>0.32072607215545496</v>
      </c>
      <c r="AA26">
        <v>3</v>
      </c>
      <c r="AB26">
        <v>597.85451792359015</v>
      </c>
      <c r="AC26">
        <v>597.85451792359015</v>
      </c>
      <c r="AD26">
        <v>10.157297458735512</v>
      </c>
      <c r="AE26">
        <v>3</v>
      </c>
      <c r="AF26">
        <v>41.684442590803449</v>
      </c>
      <c r="AG26">
        <v>41.684442590803449</v>
      </c>
      <c r="AH26">
        <v>9.5101163604054779</v>
      </c>
      <c r="AI26">
        <v>3</v>
      </c>
      <c r="AJ26">
        <v>273.85451792358674</v>
      </c>
      <c r="AK26">
        <v>273.85451792358674</v>
      </c>
      <c r="AL26">
        <v>10.157297458738256</v>
      </c>
      <c r="AM26">
        <v>3</v>
      </c>
      <c r="AN26">
        <v>0</v>
      </c>
      <c r="AO26">
        <v>0</v>
      </c>
      <c r="AP26">
        <v>0</v>
      </c>
      <c r="AQ26">
        <v>3</v>
      </c>
      <c r="AR26">
        <v>299.35669721821716</v>
      </c>
      <c r="AS26">
        <v>299.35669721821716</v>
      </c>
      <c r="AT26">
        <v>41.376075311395986</v>
      </c>
      <c r="AU26">
        <v>3</v>
      </c>
      <c r="AV26">
        <v>29.935669721821721</v>
      </c>
      <c r="AW26">
        <v>29.935669721821721</v>
      </c>
      <c r="AX26">
        <v>4.137607531139599</v>
      </c>
      <c r="AY26">
        <v>3</v>
      </c>
      <c r="AZ26">
        <v>10.395000060399374</v>
      </c>
      <c r="BA26">
        <v>10.395000060399374</v>
      </c>
      <c r="BB26">
        <v>8.5742526560935346</v>
      </c>
      <c r="BC26">
        <v>3</v>
      </c>
      <c r="BD26">
        <v>57.515666643778481</v>
      </c>
      <c r="BE26">
        <v>57.515666643778481</v>
      </c>
      <c r="BF26">
        <v>1.4897306580192406</v>
      </c>
      <c r="BG26">
        <v>3</v>
      </c>
      <c r="BH26">
        <v>300.40466674168903</v>
      </c>
      <c r="BI26">
        <v>300.40466674168903</v>
      </c>
      <c r="BJ26">
        <v>0.37283827610233011</v>
      </c>
      <c r="BK26">
        <v>3</v>
      </c>
      <c r="BL26">
        <v>295.21633402506512</v>
      </c>
      <c r="BM26">
        <v>295.21633402506512</v>
      </c>
      <c r="BN26">
        <v>0.24974646947687418</v>
      </c>
      <c r="BO26">
        <v>3</v>
      </c>
      <c r="BP26">
        <v>5.1883327166239424</v>
      </c>
      <c r="BQ26">
        <v>5.1883327166239424</v>
      </c>
      <c r="BR26">
        <v>0.55769430023905342</v>
      </c>
      <c r="BS26">
        <v>3</v>
      </c>
      <c r="BT26">
        <v>510.66666666666669</v>
      </c>
      <c r="BU26">
        <v>510.66666666666669</v>
      </c>
      <c r="BV26">
        <v>82.977908706675251</v>
      </c>
      <c r="BW26">
        <v>3</v>
      </c>
      <c r="BX26">
        <v>1</v>
      </c>
      <c r="BY26">
        <v>1</v>
      </c>
      <c r="BZ26">
        <v>0</v>
      </c>
      <c r="CA26">
        <v>3</v>
      </c>
      <c r="CB26">
        <v>20</v>
      </c>
      <c r="CC26">
        <v>20</v>
      </c>
      <c r="CD26">
        <v>4.358898943540674</v>
      </c>
      <c r="CE26">
        <v>3</v>
      </c>
      <c r="CF26">
        <v>95</v>
      </c>
      <c r="CG26">
        <v>95</v>
      </c>
      <c r="CH26">
        <v>17.578395831246947</v>
      </c>
      <c r="CI26">
        <v>3</v>
      </c>
      <c r="CJ26">
        <v>235.50600043932596</v>
      </c>
      <c r="CK26">
        <v>235.50600043932596</v>
      </c>
      <c r="CL26">
        <v>0.80035405186784603</v>
      </c>
      <c r="CM26">
        <v>3</v>
      </c>
      <c r="CN26">
        <v>118</v>
      </c>
      <c r="CO26">
        <v>118</v>
      </c>
      <c r="CP26">
        <v>60.695963621974073</v>
      </c>
      <c r="CQ26">
        <v>3</v>
      </c>
      <c r="CR26">
        <v>0.23400060335795084</v>
      </c>
      <c r="CS26">
        <v>0.23400060335795084</v>
      </c>
      <c r="CT26">
        <v>0.19242980270808804</v>
      </c>
      <c r="CU26">
        <v>3</v>
      </c>
      <c r="CV26">
        <v>0</v>
      </c>
      <c r="CW26">
        <v>0</v>
      </c>
      <c r="CX26">
        <v>0</v>
      </c>
      <c r="CY26">
        <v>3</v>
      </c>
      <c r="CZ26">
        <v>0</v>
      </c>
      <c r="DA26">
        <v>0</v>
      </c>
      <c r="DB26">
        <v>0</v>
      </c>
      <c r="DC26">
        <v>3</v>
      </c>
      <c r="DD26">
        <v>4.666666666666667</v>
      </c>
      <c r="DE26">
        <v>4.666666666666667</v>
      </c>
      <c r="DF26">
        <v>0.57735026918962584</v>
      </c>
      <c r="DG26">
        <v>3</v>
      </c>
      <c r="DH26">
        <v>4.666666666666667</v>
      </c>
      <c r="DI26">
        <v>4.666666666666667</v>
      </c>
      <c r="DJ26">
        <v>0.57735026918962584</v>
      </c>
      <c r="DK26">
        <v>3</v>
      </c>
      <c r="DL26">
        <v>13.666666666666666</v>
      </c>
      <c r="DM26">
        <v>13.666666666666666</v>
      </c>
      <c r="DN26">
        <v>0.57735026918962573</v>
      </c>
      <c r="DO26">
        <v>3</v>
      </c>
      <c r="DP26">
        <v>11.333333333333334</v>
      </c>
      <c r="DQ26">
        <v>11.333333333333334</v>
      </c>
      <c r="DR26">
        <v>2.0816659994661331</v>
      </c>
      <c r="DS26">
        <v>3</v>
      </c>
      <c r="DT26">
        <v>13.333333333333334</v>
      </c>
      <c r="DU26">
        <v>13.333333333333334</v>
      </c>
      <c r="DV26">
        <v>4.7258156262526079</v>
      </c>
      <c r="DW26">
        <v>3</v>
      </c>
      <c r="DX26">
        <v>1.3333333333333333</v>
      </c>
      <c r="DY26">
        <v>1.3333333333333333</v>
      </c>
      <c r="DZ26">
        <v>0.57735026918962573</v>
      </c>
      <c r="EA26">
        <v>3</v>
      </c>
      <c r="EB26">
        <v>3.6666666666666665</v>
      </c>
      <c r="EC26">
        <v>3.6666666666666665</v>
      </c>
      <c r="ED26">
        <v>0.57735026918962584</v>
      </c>
      <c r="EE26">
        <v>3</v>
      </c>
      <c r="EF26">
        <v>0</v>
      </c>
      <c r="EG26">
        <v>0</v>
      </c>
      <c r="EH26">
        <v>0</v>
      </c>
      <c r="EI26">
        <v>3</v>
      </c>
      <c r="EJ26">
        <v>0</v>
      </c>
      <c r="EK26">
        <v>0</v>
      </c>
      <c r="EL26">
        <v>0</v>
      </c>
      <c r="EM26">
        <v>3</v>
      </c>
      <c r="EN26">
        <v>0</v>
      </c>
      <c r="EO26">
        <v>0</v>
      </c>
      <c r="EP26">
        <v>0</v>
      </c>
      <c r="EQ26">
        <v>3</v>
      </c>
      <c r="ER26">
        <v>0</v>
      </c>
      <c r="ES26">
        <v>0</v>
      </c>
      <c r="ET26">
        <v>0</v>
      </c>
    </row>
    <row r="27" spans="1:150" x14ac:dyDescent="0.25">
      <c r="A27" t="s">
        <v>335</v>
      </c>
      <c r="B27">
        <v>0.7</v>
      </c>
      <c r="C27">
        <v>3</v>
      </c>
      <c r="D27">
        <v>3</v>
      </c>
      <c r="E27">
        <v>3</v>
      </c>
      <c r="F27">
        <v>0</v>
      </c>
      <c r="G27">
        <v>3</v>
      </c>
      <c r="H27">
        <v>0</v>
      </c>
      <c r="I27">
        <v>100</v>
      </c>
      <c r="J27">
        <v>0</v>
      </c>
      <c r="K27">
        <v>3</v>
      </c>
      <c r="L27">
        <v>1273.8659500427507</v>
      </c>
      <c r="M27">
        <v>1273.8659500427507</v>
      </c>
      <c r="N27">
        <v>46.008707410171446</v>
      </c>
      <c r="O27">
        <v>3</v>
      </c>
      <c r="P27">
        <v>1246.4317763971374</v>
      </c>
      <c r="Q27">
        <v>1246.4317763971374</v>
      </c>
      <c r="R27">
        <v>16.235414688540562</v>
      </c>
      <c r="S27">
        <v>3</v>
      </c>
      <c r="T27">
        <v>290.73492427992682</v>
      </c>
      <c r="U27">
        <v>290.73492427992682</v>
      </c>
      <c r="V27">
        <v>0</v>
      </c>
      <c r="W27">
        <v>3</v>
      </c>
      <c r="X27">
        <v>76.671963840799165</v>
      </c>
      <c r="Y27">
        <v>76.671963840799165</v>
      </c>
      <c r="Z27">
        <v>0.30610181645269119</v>
      </c>
      <c r="AA27">
        <v>3</v>
      </c>
      <c r="AB27">
        <v>743.81029261437504</v>
      </c>
      <c r="AC27">
        <v>743.81029261437504</v>
      </c>
      <c r="AD27">
        <v>10.383822934507412</v>
      </c>
      <c r="AE27">
        <v>3</v>
      </c>
      <c r="AF27">
        <v>38.604502936227284</v>
      </c>
      <c r="AG27">
        <v>38.604502936227284</v>
      </c>
      <c r="AH27">
        <v>6.8892054259337323</v>
      </c>
      <c r="AI27">
        <v>3</v>
      </c>
      <c r="AJ27">
        <v>419.81029261437334</v>
      </c>
      <c r="AK27">
        <v>419.81029261437334</v>
      </c>
      <c r="AL27">
        <v>10.383822934507956</v>
      </c>
      <c r="AM27">
        <v>3</v>
      </c>
      <c r="AN27">
        <v>0</v>
      </c>
      <c r="AO27">
        <v>0</v>
      </c>
      <c r="AP27">
        <v>0</v>
      </c>
      <c r="AQ27">
        <v>3</v>
      </c>
      <c r="AR27">
        <v>442.06688232161872</v>
      </c>
      <c r="AS27">
        <v>442.06688232161872</v>
      </c>
      <c r="AT27">
        <v>78.86984179236957</v>
      </c>
      <c r="AU27">
        <v>3</v>
      </c>
      <c r="AV27">
        <v>44.206688232161873</v>
      </c>
      <c r="AW27">
        <v>44.206688232161873</v>
      </c>
      <c r="AX27">
        <v>7.8869841792369577</v>
      </c>
      <c r="AY27">
        <v>3</v>
      </c>
      <c r="AZ27">
        <v>14.751333395640055</v>
      </c>
      <c r="BA27">
        <v>14.751333395640055</v>
      </c>
      <c r="BB27">
        <v>4.8961535918840804</v>
      </c>
      <c r="BC27">
        <v>3</v>
      </c>
      <c r="BD27">
        <v>56.404333353042603</v>
      </c>
      <c r="BE27">
        <v>56.404333353042603</v>
      </c>
      <c r="BF27">
        <v>3.881477231821767</v>
      </c>
      <c r="BG27">
        <v>3</v>
      </c>
      <c r="BH27">
        <v>300.18766665458679</v>
      </c>
      <c r="BI27">
        <v>300.18766665458679</v>
      </c>
      <c r="BJ27">
        <v>7.5142030563893597E-2</v>
      </c>
      <c r="BK27">
        <v>3</v>
      </c>
      <c r="BL27">
        <v>294.25033315022785</v>
      </c>
      <c r="BM27">
        <v>294.25033315022785</v>
      </c>
      <c r="BN27">
        <v>0.22234160669773745</v>
      </c>
      <c r="BO27">
        <v>3</v>
      </c>
      <c r="BP27">
        <v>5.9373335043589277</v>
      </c>
      <c r="BQ27">
        <v>5.9373335043589277</v>
      </c>
      <c r="BR27">
        <v>0.28356230136680816</v>
      </c>
      <c r="BS27">
        <v>3</v>
      </c>
      <c r="BT27">
        <v>373.33333333333331</v>
      </c>
      <c r="BU27">
        <v>373.33333333333331</v>
      </c>
      <c r="BV27">
        <v>30.02221399786054</v>
      </c>
      <c r="BW27">
        <v>3</v>
      </c>
      <c r="BX27">
        <v>1</v>
      </c>
      <c r="BY27">
        <v>1</v>
      </c>
      <c r="BZ27">
        <v>0</v>
      </c>
      <c r="CA27">
        <v>3</v>
      </c>
      <c r="CB27">
        <v>13</v>
      </c>
      <c r="CC27">
        <v>13</v>
      </c>
      <c r="CD27">
        <v>1</v>
      </c>
      <c r="CE27">
        <v>3</v>
      </c>
      <c r="CF27">
        <v>68.333333333333329</v>
      </c>
      <c r="CG27">
        <v>68.333333333333329</v>
      </c>
      <c r="CH27">
        <v>4.1633319989322652</v>
      </c>
      <c r="CI27">
        <v>3</v>
      </c>
      <c r="CJ27">
        <v>235.45600016911825</v>
      </c>
      <c r="CK27">
        <v>235.45600016911825</v>
      </c>
      <c r="CL27">
        <v>0.13397298826420154</v>
      </c>
      <c r="CM27">
        <v>3</v>
      </c>
      <c r="CN27">
        <v>133.33333333333334</v>
      </c>
      <c r="CO27">
        <v>133.33333333333334</v>
      </c>
      <c r="CP27">
        <v>12.741009902410928</v>
      </c>
      <c r="CQ27">
        <v>3</v>
      </c>
      <c r="CR27">
        <v>0.13533306121826172</v>
      </c>
      <c r="CS27">
        <v>0.13533306121826172</v>
      </c>
      <c r="CT27">
        <v>2.7538129499152141E-2</v>
      </c>
      <c r="CU27">
        <v>3</v>
      </c>
      <c r="CV27">
        <v>0</v>
      </c>
      <c r="CW27">
        <v>0</v>
      </c>
      <c r="CX27">
        <v>0</v>
      </c>
      <c r="CY27">
        <v>3</v>
      </c>
      <c r="CZ27">
        <v>0</v>
      </c>
      <c r="DA27">
        <v>0</v>
      </c>
      <c r="DB27">
        <v>0</v>
      </c>
      <c r="DC27">
        <v>3</v>
      </c>
      <c r="DD27">
        <v>4</v>
      </c>
      <c r="DE27">
        <v>4</v>
      </c>
      <c r="DF27">
        <v>1</v>
      </c>
      <c r="DG27">
        <v>3</v>
      </c>
      <c r="DH27">
        <v>3</v>
      </c>
      <c r="DI27">
        <v>3</v>
      </c>
      <c r="DJ27">
        <v>0</v>
      </c>
      <c r="DK27">
        <v>3</v>
      </c>
      <c r="DL27">
        <v>11.333333333333334</v>
      </c>
      <c r="DM27">
        <v>11.333333333333334</v>
      </c>
      <c r="DN27">
        <v>0.57735026918962573</v>
      </c>
      <c r="DO27">
        <v>3</v>
      </c>
      <c r="DP27">
        <v>7.666666666666667</v>
      </c>
      <c r="DQ27">
        <v>7.666666666666667</v>
      </c>
      <c r="DR27">
        <v>1.5275252316519465</v>
      </c>
      <c r="DS27">
        <v>3</v>
      </c>
      <c r="DT27">
        <v>11.666666666666666</v>
      </c>
      <c r="DU27">
        <v>11.666666666666666</v>
      </c>
      <c r="DV27">
        <v>4.1633319989322652</v>
      </c>
      <c r="DW27">
        <v>3</v>
      </c>
      <c r="DX27">
        <v>1.6666666666666667</v>
      </c>
      <c r="DY27">
        <v>1.6666666666666667</v>
      </c>
      <c r="DZ27">
        <v>0.57735026918962573</v>
      </c>
      <c r="EA27">
        <v>3</v>
      </c>
      <c r="EB27">
        <v>4</v>
      </c>
      <c r="EC27">
        <v>4</v>
      </c>
      <c r="ED27">
        <v>0</v>
      </c>
      <c r="EE27">
        <v>3</v>
      </c>
      <c r="EF27">
        <v>0</v>
      </c>
      <c r="EG27">
        <v>0</v>
      </c>
      <c r="EH27">
        <v>0</v>
      </c>
      <c r="EI27">
        <v>3</v>
      </c>
      <c r="EJ27">
        <v>0</v>
      </c>
      <c r="EK27">
        <v>0</v>
      </c>
      <c r="EL27">
        <v>0</v>
      </c>
      <c r="EM27">
        <v>3</v>
      </c>
      <c r="EN27">
        <v>0</v>
      </c>
      <c r="EO27">
        <v>0</v>
      </c>
      <c r="EP27">
        <v>0</v>
      </c>
      <c r="EQ27">
        <v>3</v>
      </c>
      <c r="ER27">
        <v>0</v>
      </c>
      <c r="ES27">
        <v>0</v>
      </c>
      <c r="ET27">
        <v>0</v>
      </c>
    </row>
    <row r="28" spans="1:150" x14ac:dyDescent="0.25">
      <c r="A28" t="s">
        <v>336</v>
      </c>
      <c r="B28">
        <v>0.7</v>
      </c>
      <c r="C28">
        <v>3</v>
      </c>
      <c r="D28">
        <v>3</v>
      </c>
      <c r="E28">
        <v>3</v>
      </c>
      <c r="F28">
        <v>0</v>
      </c>
      <c r="G28">
        <v>3</v>
      </c>
      <c r="H28">
        <v>0</v>
      </c>
      <c r="I28">
        <v>100</v>
      </c>
      <c r="J28">
        <v>0</v>
      </c>
      <c r="K28">
        <v>3</v>
      </c>
      <c r="L28">
        <v>754.4829888711505</v>
      </c>
      <c r="M28">
        <v>754.4829888711505</v>
      </c>
      <c r="N28">
        <v>20.177869063249869</v>
      </c>
      <c r="O28">
        <v>3</v>
      </c>
      <c r="P28">
        <v>729.67217724969726</v>
      </c>
      <c r="Q28">
        <v>729.67217724969726</v>
      </c>
      <c r="R28">
        <v>13.220276758648952</v>
      </c>
      <c r="S28">
        <v>3</v>
      </c>
      <c r="T28">
        <v>246.50892427451959</v>
      </c>
      <c r="U28">
        <v>246.50892427451959</v>
      </c>
      <c r="V28">
        <v>0</v>
      </c>
      <c r="W28">
        <v>3</v>
      </c>
      <c r="X28">
        <v>66.209097622307652</v>
      </c>
      <c r="Y28">
        <v>66.209097622307652</v>
      </c>
      <c r="Z28">
        <v>0.61146662739843693</v>
      </c>
      <c r="AA28">
        <v>3</v>
      </c>
      <c r="AB28">
        <v>541.02294197188735</v>
      </c>
      <c r="AC28">
        <v>541.02294197188735</v>
      </c>
      <c r="AD28">
        <v>3.3595130141714189</v>
      </c>
      <c r="AE28">
        <v>3</v>
      </c>
      <c r="AF28">
        <v>39.198179017784057</v>
      </c>
      <c r="AG28">
        <v>39.198179017784057</v>
      </c>
      <c r="AH28">
        <v>9.5212096840171636</v>
      </c>
      <c r="AI28">
        <v>3</v>
      </c>
      <c r="AJ28">
        <v>138.07865481106691</v>
      </c>
      <c r="AK28">
        <v>138.07865481106691</v>
      </c>
      <c r="AL28">
        <v>2.5647664346289996</v>
      </c>
      <c r="AM28">
        <v>3</v>
      </c>
      <c r="AN28">
        <v>0</v>
      </c>
      <c r="AO28">
        <v>0</v>
      </c>
      <c r="AP28">
        <v>0</v>
      </c>
      <c r="AQ28">
        <v>3</v>
      </c>
      <c r="AR28">
        <v>113.72401448959027</v>
      </c>
      <c r="AS28">
        <v>113.72401448959027</v>
      </c>
      <c r="AT28">
        <v>7.4139681263419623</v>
      </c>
      <c r="AU28">
        <v>3</v>
      </c>
      <c r="AV28">
        <v>11.372401448959026</v>
      </c>
      <c r="AW28">
        <v>11.372401448959026</v>
      </c>
      <c r="AX28">
        <v>0.74139681263419621</v>
      </c>
      <c r="AY28">
        <v>3</v>
      </c>
      <c r="AZ28">
        <v>6.5493332544962568</v>
      </c>
      <c r="BA28">
        <v>6.5493332544962568</v>
      </c>
      <c r="BB28">
        <v>3.7826863892238789</v>
      </c>
      <c r="BC28">
        <v>3</v>
      </c>
      <c r="BD28">
        <v>45.095666646957397</v>
      </c>
      <c r="BE28">
        <v>45.095666646957397</v>
      </c>
      <c r="BF28">
        <v>21.680901860745465</v>
      </c>
      <c r="BG28">
        <v>3</v>
      </c>
      <c r="BH28">
        <v>300.12533322970074</v>
      </c>
      <c r="BI28">
        <v>300.12533322970074</v>
      </c>
      <c r="BJ28">
        <v>1.8502285584355085E-2</v>
      </c>
      <c r="BK28">
        <v>3</v>
      </c>
      <c r="BL28">
        <v>294.72066497802734</v>
      </c>
      <c r="BM28">
        <v>294.72066497802734</v>
      </c>
      <c r="BN28">
        <v>0.7188635847942475</v>
      </c>
      <c r="BO28">
        <v>3</v>
      </c>
      <c r="BP28">
        <v>5.4046682516733808</v>
      </c>
      <c r="BQ28">
        <v>5.4046682516733808</v>
      </c>
      <c r="BR28">
        <v>0.73514347774093858</v>
      </c>
      <c r="BS28">
        <v>3</v>
      </c>
      <c r="BT28">
        <v>520</v>
      </c>
      <c r="BU28">
        <v>520</v>
      </c>
      <c r="BV28">
        <v>40.926763859362246</v>
      </c>
      <c r="BW28">
        <v>3</v>
      </c>
      <c r="BX28">
        <v>1</v>
      </c>
      <c r="BY28">
        <v>1</v>
      </c>
      <c r="BZ28">
        <v>0</v>
      </c>
      <c r="CA28">
        <v>3</v>
      </c>
      <c r="CB28">
        <v>11</v>
      </c>
      <c r="CC28">
        <v>11</v>
      </c>
      <c r="CD28">
        <v>1</v>
      </c>
      <c r="CE28">
        <v>3</v>
      </c>
      <c r="CF28">
        <v>71</v>
      </c>
      <c r="CG28">
        <v>71</v>
      </c>
      <c r="CH28">
        <v>5</v>
      </c>
      <c r="CI28">
        <v>3</v>
      </c>
      <c r="CJ28">
        <v>236.15766525268555</v>
      </c>
      <c r="CK28">
        <v>236.15766525268555</v>
      </c>
      <c r="CL28">
        <v>0.28321241497386612</v>
      </c>
      <c r="CM28">
        <v>3</v>
      </c>
      <c r="CN28">
        <v>70.666666666666671</v>
      </c>
      <c r="CO28">
        <v>70.666666666666671</v>
      </c>
      <c r="CP28">
        <v>14.153915830374762</v>
      </c>
      <c r="CQ28">
        <v>3</v>
      </c>
      <c r="CR28">
        <v>9.9333127339680985E-2</v>
      </c>
      <c r="CS28">
        <v>9.9333127339680985E-2</v>
      </c>
      <c r="CT28">
        <v>1.2055311920384958E-2</v>
      </c>
      <c r="CU28">
        <v>3</v>
      </c>
      <c r="CV28">
        <v>0</v>
      </c>
      <c r="CW28">
        <v>0</v>
      </c>
      <c r="CX28">
        <v>0</v>
      </c>
      <c r="CY28">
        <v>3</v>
      </c>
      <c r="CZ28">
        <v>0</v>
      </c>
      <c r="DA28">
        <v>0</v>
      </c>
      <c r="DB28">
        <v>0</v>
      </c>
      <c r="DC28">
        <v>3</v>
      </c>
      <c r="DD28">
        <v>8</v>
      </c>
      <c r="DE28">
        <v>8</v>
      </c>
      <c r="DF28">
        <v>2.6457513110645907</v>
      </c>
      <c r="DG28">
        <v>3</v>
      </c>
      <c r="DH28">
        <v>7</v>
      </c>
      <c r="DI28">
        <v>7</v>
      </c>
      <c r="DJ28">
        <v>2.6457513110645907</v>
      </c>
      <c r="DK28">
        <v>3</v>
      </c>
      <c r="DL28">
        <v>18.333333333333332</v>
      </c>
      <c r="DM28">
        <v>18.333333333333332</v>
      </c>
      <c r="DN28">
        <v>4.7258156262526079</v>
      </c>
      <c r="DO28">
        <v>3</v>
      </c>
      <c r="DP28">
        <v>15.333333333333334</v>
      </c>
      <c r="DQ28">
        <v>15.333333333333334</v>
      </c>
      <c r="DR28">
        <v>5.6862407030773268</v>
      </c>
      <c r="DS28">
        <v>3</v>
      </c>
      <c r="DT28">
        <v>12.333333333333334</v>
      </c>
      <c r="DU28">
        <v>12.333333333333334</v>
      </c>
      <c r="DV28">
        <v>2.5166114784235836</v>
      </c>
      <c r="DW28">
        <v>3</v>
      </c>
      <c r="DX28">
        <v>1</v>
      </c>
      <c r="DY28">
        <v>1</v>
      </c>
      <c r="DZ28">
        <v>1</v>
      </c>
      <c r="EA28">
        <v>3</v>
      </c>
      <c r="EB28">
        <v>3</v>
      </c>
      <c r="EC28">
        <v>3</v>
      </c>
      <c r="ED28">
        <v>0</v>
      </c>
      <c r="EE28">
        <v>3</v>
      </c>
      <c r="EF28">
        <v>0</v>
      </c>
      <c r="EG28">
        <v>0</v>
      </c>
      <c r="EH28">
        <v>0</v>
      </c>
      <c r="EI28">
        <v>3</v>
      </c>
      <c r="EJ28">
        <v>0</v>
      </c>
      <c r="EK28">
        <v>0</v>
      </c>
      <c r="EL28">
        <v>0</v>
      </c>
      <c r="EM28">
        <v>3</v>
      </c>
      <c r="EN28">
        <v>0</v>
      </c>
      <c r="EO28">
        <v>0</v>
      </c>
      <c r="EP28">
        <v>0</v>
      </c>
      <c r="EQ28">
        <v>3</v>
      </c>
      <c r="ER28">
        <v>0</v>
      </c>
      <c r="ES28">
        <v>0</v>
      </c>
      <c r="ET28">
        <v>0</v>
      </c>
    </row>
    <row r="29" spans="1:150" x14ac:dyDescent="0.25">
      <c r="A29" t="s">
        <v>337</v>
      </c>
      <c r="B29">
        <v>0.7</v>
      </c>
      <c r="C29">
        <v>3</v>
      </c>
      <c r="D29">
        <v>3</v>
      </c>
      <c r="E29">
        <v>3</v>
      </c>
      <c r="F29">
        <v>0</v>
      </c>
      <c r="G29">
        <v>3</v>
      </c>
      <c r="H29">
        <v>0</v>
      </c>
      <c r="I29">
        <v>100</v>
      </c>
      <c r="J29">
        <v>0</v>
      </c>
      <c r="K29">
        <v>3</v>
      </c>
      <c r="L29">
        <v>1398.4935200198768</v>
      </c>
      <c r="M29">
        <v>1398.4935200198768</v>
      </c>
      <c r="N29">
        <v>179.60736314603346</v>
      </c>
      <c r="O29">
        <v>3</v>
      </c>
      <c r="P29">
        <v>1267.5280474826166</v>
      </c>
      <c r="Q29">
        <v>1267.5280474826166</v>
      </c>
      <c r="R29">
        <v>39.214562062516492</v>
      </c>
      <c r="S29">
        <v>3</v>
      </c>
      <c r="T29">
        <v>291.29025616512354</v>
      </c>
      <c r="U29">
        <v>291.29025616512354</v>
      </c>
      <c r="V29">
        <v>0</v>
      </c>
      <c r="W29">
        <v>3</v>
      </c>
      <c r="X29">
        <v>77.004148297343178</v>
      </c>
      <c r="Y29">
        <v>77.004148297343178</v>
      </c>
      <c r="Z29">
        <v>0.72151436380766243</v>
      </c>
      <c r="AA29">
        <v>3</v>
      </c>
      <c r="AB29">
        <v>787.52419131482554</v>
      </c>
      <c r="AC29">
        <v>787.52419131482554</v>
      </c>
      <c r="AD29">
        <v>11.406358628814145</v>
      </c>
      <c r="AE29">
        <v>3</v>
      </c>
      <c r="AF29">
        <v>60.758221911298598</v>
      </c>
      <c r="AG29">
        <v>60.758221911298598</v>
      </c>
      <c r="AH29">
        <v>24.467508833614701</v>
      </c>
      <c r="AI29">
        <v>3</v>
      </c>
      <c r="AJ29">
        <v>382.52419131482293</v>
      </c>
      <c r="AK29">
        <v>382.52419131482293</v>
      </c>
      <c r="AL29">
        <v>11.406358628812534</v>
      </c>
      <c r="AM29">
        <v>3</v>
      </c>
      <c r="AN29">
        <v>0</v>
      </c>
      <c r="AO29">
        <v>0</v>
      </c>
      <c r="AP29">
        <v>0</v>
      </c>
      <c r="AQ29">
        <v>3</v>
      </c>
      <c r="AR29">
        <v>367.21442941669443</v>
      </c>
      <c r="AS29">
        <v>367.21442941669443</v>
      </c>
      <c r="AT29">
        <v>51.285958955364954</v>
      </c>
      <c r="AU29">
        <v>3</v>
      </c>
      <c r="AV29">
        <v>36.721442941669444</v>
      </c>
      <c r="AW29">
        <v>36.721442941669444</v>
      </c>
      <c r="AX29">
        <v>5.1285958955364972</v>
      </c>
      <c r="AY29">
        <v>3</v>
      </c>
      <c r="AZ29">
        <v>26.736666758855183</v>
      </c>
      <c r="BA29">
        <v>26.736666758855183</v>
      </c>
      <c r="BB29">
        <v>9.4797687698103399</v>
      </c>
      <c r="BC29">
        <v>3</v>
      </c>
      <c r="BD29">
        <v>48.472000122070313</v>
      </c>
      <c r="BE29">
        <v>48.472000122070313</v>
      </c>
      <c r="BF29">
        <v>8.3260877657811179</v>
      </c>
      <c r="BG29">
        <v>3</v>
      </c>
      <c r="BH29">
        <v>300.19766672452289</v>
      </c>
      <c r="BI29">
        <v>300.19766672452289</v>
      </c>
      <c r="BJ29">
        <v>2.3965238391166582E-2</v>
      </c>
      <c r="BK29">
        <v>3</v>
      </c>
      <c r="BL29">
        <v>291.19666711489361</v>
      </c>
      <c r="BM29">
        <v>291.19666711489361</v>
      </c>
      <c r="BN29">
        <v>0.45865192072301814</v>
      </c>
      <c r="BO29">
        <v>3</v>
      </c>
      <c r="BP29">
        <v>9.0009996096293126</v>
      </c>
      <c r="BQ29">
        <v>9.0009996096293126</v>
      </c>
      <c r="BR29">
        <v>0.47381137171434667</v>
      </c>
      <c r="BS29">
        <v>3</v>
      </c>
      <c r="BT29">
        <v>336.66666666666669</v>
      </c>
      <c r="BU29">
        <v>336.66666666666669</v>
      </c>
      <c r="BV29">
        <v>35.472994422987938</v>
      </c>
      <c r="BW29">
        <v>3</v>
      </c>
      <c r="BX29">
        <v>1</v>
      </c>
      <c r="BY29">
        <v>1</v>
      </c>
      <c r="BZ29">
        <v>0</v>
      </c>
      <c r="CA29">
        <v>3</v>
      </c>
      <c r="CB29">
        <v>8.6666666666666661</v>
      </c>
      <c r="CC29">
        <v>8.6666666666666661</v>
      </c>
      <c r="CD29">
        <v>1.5275252316519468</v>
      </c>
      <c r="CE29">
        <v>3</v>
      </c>
      <c r="CF29">
        <v>60</v>
      </c>
      <c r="CG29">
        <v>60</v>
      </c>
      <c r="CH29">
        <v>7.2111025509279782</v>
      </c>
      <c r="CI29">
        <v>3</v>
      </c>
      <c r="CJ29">
        <v>233.73466714223227</v>
      </c>
      <c r="CK29">
        <v>233.73466714223227</v>
      </c>
      <c r="CL29">
        <v>0.47146744712604521</v>
      </c>
      <c r="CM29">
        <v>3</v>
      </c>
      <c r="CN29">
        <v>48</v>
      </c>
      <c r="CO29">
        <v>48</v>
      </c>
      <c r="CP29">
        <v>33.645207682521445</v>
      </c>
      <c r="CQ29">
        <v>3</v>
      </c>
      <c r="CR29">
        <v>0.13466684023539224</v>
      </c>
      <c r="CS29">
        <v>0.13466684023539224</v>
      </c>
      <c r="CT29">
        <v>3.8553547243071341E-2</v>
      </c>
      <c r="CU29">
        <v>3</v>
      </c>
      <c r="CV29">
        <v>0</v>
      </c>
      <c r="CW29">
        <v>0</v>
      </c>
      <c r="CX29">
        <v>0</v>
      </c>
      <c r="CY29">
        <v>3</v>
      </c>
      <c r="CZ29">
        <v>0</v>
      </c>
      <c r="DA29">
        <v>0</v>
      </c>
      <c r="DB29">
        <v>0</v>
      </c>
      <c r="DC29">
        <v>3</v>
      </c>
      <c r="DD29">
        <v>4.666666666666667</v>
      </c>
      <c r="DE29">
        <v>4.666666666666667</v>
      </c>
      <c r="DF29">
        <v>1.5275252316519465</v>
      </c>
      <c r="DG29">
        <v>3</v>
      </c>
      <c r="DH29">
        <v>2.3333333333333335</v>
      </c>
      <c r="DI29">
        <v>2.3333333333333335</v>
      </c>
      <c r="DJ29">
        <v>0.57735026918962584</v>
      </c>
      <c r="DK29">
        <v>3</v>
      </c>
      <c r="DL29">
        <v>13</v>
      </c>
      <c r="DM29">
        <v>13</v>
      </c>
      <c r="DN29">
        <v>2</v>
      </c>
      <c r="DO29">
        <v>3</v>
      </c>
      <c r="DP29">
        <v>4</v>
      </c>
      <c r="DQ29">
        <v>4</v>
      </c>
      <c r="DR29">
        <v>1.7320508075688772</v>
      </c>
      <c r="DS29">
        <v>3</v>
      </c>
      <c r="DT29">
        <v>7.333333333333333</v>
      </c>
      <c r="DU29">
        <v>7.333333333333333</v>
      </c>
      <c r="DV29">
        <v>0.57735026918962584</v>
      </c>
      <c r="DW29">
        <v>3</v>
      </c>
      <c r="DX29">
        <v>0.33333333333333331</v>
      </c>
      <c r="DY29">
        <v>0.33333333333333331</v>
      </c>
      <c r="DZ29">
        <v>0.57735026918962584</v>
      </c>
      <c r="EA29">
        <v>3</v>
      </c>
      <c r="EB29">
        <v>3</v>
      </c>
      <c r="EC29">
        <v>3</v>
      </c>
      <c r="ED29">
        <v>0</v>
      </c>
      <c r="EE29">
        <v>3</v>
      </c>
      <c r="EF29">
        <v>0</v>
      </c>
      <c r="EG29">
        <v>0</v>
      </c>
      <c r="EH29">
        <v>0</v>
      </c>
      <c r="EI29">
        <v>3</v>
      </c>
      <c r="EJ29">
        <v>0</v>
      </c>
      <c r="EK29">
        <v>0</v>
      </c>
      <c r="EL29">
        <v>0</v>
      </c>
      <c r="EM29">
        <v>3</v>
      </c>
      <c r="EN29">
        <v>0</v>
      </c>
      <c r="EO29">
        <v>0</v>
      </c>
      <c r="EP29">
        <v>0</v>
      </c>
      <c r="EQ29">
        <v>3</v>
      </c>
      <c r="ER29">
        <v>0</v>
      </c>
      <c r="ES29">
        <v>0</v>
      </c>
      <c r="ET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res_global</vt:lpstr>
      <vt:lpstr>obj_decomp</vt:lpstr>
      <vt:lpstr>BPB detail</vt:lpstr>
      <vt:lpstr>Legacy BPB parameters</vt:lpstr>
      <vt:lpstr>MILP results</vt:lpstr>
      <vt:lpstr>BPB 3-run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Tai-Yu Ma</dc:creator>
  <dc:description/>
  <cp:lastModifiedBy>tai-yu ma</cp:lastModifiedBy>
  <cp:revision>0</cp:revision>
  <dcterms:created xsi:type="dcterms:W3CDTF">2026-09-07T06:55:23Z</dcterms:created>
  <dcterms:modified xsi:type="dcterms:W3CDTF">2026-09-07T07:01:11Z</dcterms:modified>
  <dc:language>en-US</dc:language>
</cp:coreProperties>
</file>